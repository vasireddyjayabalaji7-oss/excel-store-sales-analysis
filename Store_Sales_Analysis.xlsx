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Data" sheetId="3" state="visible" r:id="rId5"/>
    <sheet name="Analysis" sheetId="4" state="visible" r:id="rId6"/>
  </sheets>
  <definedNames>
    <definedName function="false" hidden="true" localSheetId="2" name="_xlnm._FilterDatabase" vbProcedure="false">Data!$A$1:$I$121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<sst xmlns="http://schemas.openxmlformats.org/spreadsheetml/2006/main" count="544" uniqueCount="187">
  <si>
    <t xml:space="preserve">Simple Store Sales Analysis (Excel)</t>
  </si>
  <si>
    <t xml:space="preserve">Goal: find which regions, categories and months bring in the most revenue.</t>
  </si>
  <si>
    <t xml:space="preserve">Sheets in this workbook</t>
  </si>
  <si>
    <t xml:space="preserve">1. Data       - 120 sample orders (revenue is calculated with a formula).</t>
  </si>
  <si>
    <t xml:space="preserve">2. Analysis   - summary tables built with SUMIFS, COUNTIFS, AVERAGE and INDEX/MATCH.</t>
  </si>
  <si>
    <t xml:space="preserve">3. Dashboard  - KPI cards, auto-updating insights and 3 charts.</t>
  </si>
  <si>
    <t xml:space="preserve">Data note</t>
  </si>
  <si>
    <t xml:space="preserve">All data is fictional and was created for this practice project. It is not copied from any company, website or dataset, so you can use it freely.</t>
  </si>
  <si>
    <t xml:space="preserve">Excel skills used</t>
  </si>
  <si>
    <t xml:space="preserve">Formulas, SUMIFS, COUNTIFS, INDEX/MATCH, MAX, Tables/formatting, Bar/Line/Pie charts.</t>
  </si>
  <si>
    <t xml:space="preserve">Try it yourself</t>
  </si>
  <si>
    <t xml:space="preserve">- Change a Quantity or Unit Price on the Data sheet and watch the Dashboard update.</t>
  </si>
  <si>
    <t xml:space="preserve">- Insert a PivotTable from the Data sheet (Insert &gt; PivotTable) and compare it with the Analysis sheet.</t>
  </si>
  <si>
    <t xml:space="preserve">Store Sales Dashboard - 2025</t>
  </si>
  <si>
    <t xml:space="preserve">Total Revenue</t>
  </si>
  <si>
    <t xml:space="preserve">Total Orders</t>
  </si>
  <si>
    <t xml:space="preserve">Avg Order Value</t>
  </si>
  <si>
    <t xml:space="preserve">Units Sold</t>
  </si>
  <si>
    <t xml:space="preserve">Key Insights (update automatically)</t>
  </si>
  <si>
    <t xml:space="preserve">Order ID</t>
  </si>
  <si>
    <t xml:space="preserve">Date</t>
  </si>
  <si>
    <t xml:space="preserve">Region</t>
  </si>
  <si>
    <t xml:space="preserve">Category</t>
  </si>
  <si>
    <t xml:space="preserve">Product</t>
  </si>
  <si>
    <t xml:space="preserve">Quantity</t>
  </si>
  <si>
    <t xml:space="preserve">Unit Price</t>
  </si>
  <si>
    <t xml:space="preserve">Revenue</t>
  </si>
  <si>
    <t xml:space="preserve">Month</t>
  </si>
  <si>
    <t xml:space="preserve">Notes</t>
  </si>
  <si>
    <t xml:space="preserve">ORD1002</t>
  </si>
  <si>
    <t xml:space="preserve">North</t>
  </si>
  <si>
    <t xml:space="preserve">Snacks</t>
  </si>
  <si>
    <t xml:space="preserve">Tea Pack</t>
  </si>
  <si>
    <t xml:space="preserve">Unit Price is in rupees (assumed currency for this practice data).</t>
  </si>
  <si>
    <t xml:space="preserve">ORD1003</t>
  </si>
  <si>
    <t xml:space="preserve">Gadgets</t>
  </si>
  <si>
    <t xml:space="preserve">Phone Stand</t>
  </si>
  <si>
    <t xml:space="preserve">Revenue = Quantity x Unit Price. Month = month number from Date.</t>
  </si>
  <si>
    <t xml:space="preserve">ORD1004</t>
  </si>
  <si>
    <t xml:space="preserve">East</t>
  </si>
  <si>
    <t xml:space="preserve">USB Cable</t>
  </si>
  <si>
    <t xml:space="preserve">ORD1005</t>
  </si>
  <si>
    <t xml:space="preserve">ORD1006</t>
  </si>
  <si>
    <t xml:space="preserve">West</t>
  </si>
  <si>
    <t xml:space="preserve">Stationery</t>
  </si>
  <si>
    <t xml:space="preserve">Pen Pack</t>
  </si>
  <si>
    <t xml:space="preserve">ORD1007</t>
  </si>
  <si>
    <t xml:space="preserve">South</t>
  </si>
  <si>
    <t xml:space="preserve">Granola Bar Box</t>
  </si>
  <si>
    <t xml:space="preserve">ORD1008</t>
  </si>
  <si>
    <t xml:space="preserve">Earphones</t>
  </si>
  <si>
    <t xml:space="preserve">ORD1009</t>
  </si>
  <si>
    <t xml:space="preserve">ORD1010</t>
  </si>
  <si>
    <t xml:space="preserve">ORD1011</t>
  </si>
  <si>
    <t xml:space="preserve">ORD1012</t>
  </si>
  <si>
    <t xml:space="preserve">ORD1013</t>
  </si>
  <si>
    <t xml:space="preserve">ORD1014</t>
  </si>
  <si>
    <t xml:space="preserve">ORD1015</t>
  </si>
  <si>
    <t xml:space="preserve">ORD1016</t>
  </si>
  <si>
    <t xml:space="preserve">Home</t>
  </si>
  <si>
    <t xml:space="preserve">Storage Box</t>
  </si>
  <si>
    <t xml:space="preserve">ORD1017</t>
  </si>
  <si>
    <t xml:space="preserve">ORD1018</t>
  </si>
  <si>
    <t xml:space="preserve">Table Lamp</t>
  </si>
  <si>
    <t xml:space="preserve">ORD1019</t>
  </si>
  <si>
    <t xml:space="preserve">Desk Organizer</t>
  </si>
  <si>
    <t xml:space="preserve">ORD1020</t>
  </si>
  <si>
    <t xml:space="preserve">Roasted Nuts</t>
  </si>
  <si>
    <t xml:space="preserve">ORD1021</t>
  </si>
  <si>
    <t xml:space="preserve">ORD1022</t>
  </si>
  <si>
    <t xml:space="preserve">ORD1023</t>
  </si>
  <si>
    <t xml:space="preserve">Notebook</t>
  </si>
  <si>
    <t xml:space="preserve">ORD1024</t>
  </si>
  <si>
    <t xml:space="preserve">ORD1025</t>
  </si>
  <si>
    <t xml:space="preserve">ORD1026</t>
  </si>
  <si>
    <t xml:space="preserve">ORD1027</t>
  </si>
  <si>
    <t xml:space="preserve">ORD1028</t>
  </si>
  <si>
    <t xml:space="preserve">ORD1029</t>
  </si>
  <si>
    <t xml:space="preserve">ORD1030</t>
  </si>
  <si>
    <t xml:space="preserve">ORD1031</t>
  </si>
  <si>
    <t xml:space="preserve">ORD1032</t>
  </si>
  <si>
    <t xml:space="preserve">ORD1033</t>
  </si>
  <si>
    <t xml:space="preserve">ORD1034</t>
  </si>
  <si>
    <t xml:space="preserve">ORD1035</t>
  </si>
  <si>
    <t xml:space="preserve">ORD1036</t>
  </si>
  <si>
    <t xml:space="preserve">ORD1037</t>
  </si>
  <si>
    <t xml:space="preserve">ORD1038</t>
  </si>
  <si>
    <t xml:space="preserve">ORD1039</t>
  </si>
  <si>
    <t xml:space="preserve">ORD1040</t>
  </si>
  <si>
    <t xml:space="preserve">ORD1041</t>
  </si>
  <si>
    <t xml:space="preserve">ORD1042</t>
  </si>
  <si>
    <t xml:space="preserve">ORD1043</t>
  </si>
  <si>
    <t xml:space="preserve">ORD1044</t>
  </si>
  <si>
    <t xml:space="preserve">ORD1045</t>
  </si>
  <si>
    <t xml:space="preserve">ORD1046</t>
  </si>
  <si>
    <t xml:space="preserve">ORD1047</t>
  </si>
  <si>
    <t xml:space="preserve">ORD1048</t>
  </si>
  <si>
    <t xml:space="preserve">ORD1049</t>
  </si>
  <si>
    <t xml:space="preserve">ORD1050</t>
  </si>
  <si>
    <t xml:space="preserve">ORD1051</t>
  </si>
  <si>
    <t xml:space="preserve">ORD1052</t>
  </si>
  <si>
    <t xml:space="preserve">ORD1053</t>
  </si>
  <si>
    <t xml:space="preserve">ORD1054</t>
  </si>
  <si>
    <t xml:space="preserve">ORD1055</t>
  </si>
  <si>
    <t xml:space="preserve">ORD1056</t>
  </si>
  <si>
    <t xml:space="preserve">ORD1057</t>
  </si>
  <si>
    <t xml:space="preserve">ORD1058</t>
  </si>
  <si>
    <t xml:space="preserve">ORD1059</t>
  </si>
  <si>
    <t xml:space="preserve">ORD1060</t>
  </si>
  <si>
    <t xml:space="preserve">ORD1061</t>
  </si>
  <si>
    <t xml:space="preserve">ORD1062</t>
  </si>
  <si>
    <t xml:space="preserve">Water Bottle</t>
  </si>
  <si>
    <t xml:space="preserve">ORD1063</t>
  </si>
  <si>
    <t xml:space="preserve">ORD1064</t>
  </si>
  <si>
    <t xml:space="preserve">ORD1065</t>
  </si>
  <si>
    <t xml:space="preserve">ORD1066</t>
  </si>
  <si>
    <t xml:space="preserve">ORD1067</t>
  </si>
  <si>
    <t xml:space="preserve">ORD1068</t>
  </si>
  <si>
    <t xml:space="preserve">ORD1069</t>
  </si>
  <si>
    <t xml:space="preserve">ORD1070</t>
  </si>
  <si>
    <t xml:space="preserve">ORD1071</t>
  </si>
  <si>
    <t xml:space="preserve">ORD1072</t>
  </si>
  <si>
    <t xml:space="preserve">ORD1073</t>
  </si>
  <si>
    <t xml:space="preserve">ORD1074</t>
  </si>
  <si>
    <t xml:space="preserve">ORD1075</t>
  </si>
  <si>
    <t xml:space="preserve">ORD1076</t>
  </si>
  <si>
    <t xml:space="preserve">ORD1077</t>
  </si>
  <si>
    <t xml:space="preserve">ORD1078</t>
  </si>
  <si>
    <t xml:space="preserve">ORD1079</t>
  </si>
  <si>
    <t xml:space="preserve">ORD1080</t>
  </si>
  <si>
    <t xml:space="preserve">ORD1081</t>
  </si>
  <si>
    <t xml:space="preserve">ORD1082</t>
  </si>
  <si>
    <t xml:space="preserve">ORD1083</t>
  </si>
  <si>
    <t xml:space="preserve">ORD1084</t>
  </si>
  <si>
    <t xml:space="preserve">ORD1085</t>
  </si>
  <si>
    <t xml:space="preserve">ORD1086</t>
  </si>
  <si>
    <t xml:space="preserve">ORD1087</t>
  </si>
  <si>
    <t xml:space="preserve">ORD1088</t>
  </si>
  <si>
    <t xml:space="preserve">ORD1089</t>
  </si>
  <si>
    <t xml:space="preserve">ORD1090</t>
  </si>
  <si>
    <t xml:space="preserve">ORD1091</t>
  </si>
  <si>
    <t xml:space="preserve">ORD1092</t>
  </si>
  <si>
    <t xml:space="preserve">ORD1093</t>
  </si>
  <si>
    <t xml:space="preserve">ORD1094</t>
  </si>
  <si>
    <t xml:space="preserve">ORD1095</t>
  </si>
  <si>
    <t xml:space="preserve">ORD1096</t>
  </si>
  <si>
    <t xml:space="preserve">ORD1097</t>
  </si>
  <si>
    <t xml:space="preserve">ORD1098</t>
  </si>
  <si>
    <t xml:space="preserve">ORD1099</t>
  </si>
  <si>
    <t xml:space="preserve">ORD1100</t>
  </si>
  <si>
    <t xml:space="preserve">ORD1101</t>
  </si>
  <si>
    <t xml:space="preserve">ORD1102</t>
  </si>
  <si>
    <t xml:space="preserve">ORD1103</t>
  </si>
  <si>
    <t xml:space="preserve">ORD1104</t>
  </si>
  <si>
    <t xml:space="preserve">ORD1105</t>
  </si>
  <si>
    <t xml:space="preserve">ORD1106</t>
  </si>
  <si>
    <t xml:space="preserve">ORD1107</t>
  </si>
  <si>
    <t xml:space="preserve">ORD1108</t>
  </si>
  <si>
    <t xml:space="preserve">ORD1109</t>
  </si>
  <si>
    <t xml:space="preserve">ORD1110</t>
  </si>
  <si>
    <t xml:space="preserve">ORD1111</t>
  </si>
  <si>
    <t xml:space="preserve">ORD1112</t>
  </si>
  <si>
    <t xml:space="preserve">ORD1113</t>
  </si>
  <si>
    <t xml:space="preserve">ORD1114</t>
  </si>
  <si>
    <t xml:space="preserve">ORD1115</t>
  </si>
  <si>
    <t xml:space="preserve">ORD1116</t>
  </si>
  <si>
    <t xml:space="preserve">ORD1117</t>
  </si>
  <si>
    <t xml:space="preserve">ORD1118</t>
  </si>
  <si>
    <t xml:space="preserve">ORD1119</t>
  </si>
  <si>
    <t xml:space="preserve">ORD1120</t>
  </si>
  <si>
    <t xml:space="preserve">ORD1121</t>
  </si>
  <si>
    <t xml:space="preserve">Summary Tables (all formulas)</t>
  </si>
  <si>
    <t xml:space="preserve">Orders</t>
  </si>
  <si>
    <t xml:space="preserve">Share %</t>
  </si>
  <si>
    <t xml:space="preserve">Month No.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</si>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</sst>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\-mmm\-yyyy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Analysis!$B$4:$B$7</c:f>
              <c:numCache>
                <c:formatCode>#,##0</c:formatCode>
                <c:ptCount val="4"/>
                <c:pt idx="0">
                  <c:v>46510</c:v>
                </c:pt>
                <c:pt idx="1">
                  <c:v>54880</c:v>
                </c:pt>
                <c:pt idx="2">
                  <c:v>39010</c:v>
                </c:pt>
                <c:pt idx="3">
                  <c:v>64570</c:v>
                </c:pt>
              </c:numCache>
            </c:numRef>
          </c:val>
        </c:ser>
        <c:gapWidth val="150"/>
        <c:overlap val="0"/>
        <c:axId val="68695613"/>
        <c:axId val="42611082"/>
      </c:barChart>
      <c:catAx>
        <c:axId val="686956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11082"/>
        <c:crosses val="autoZero"/>
        <c:auto val="1"/>
        <c:lblAlgn val="ctr"/>
        <c:lblOffset val="100"/>
        <c:noMultiLvlLbl val="0"/>
      </c:catAx>
      <c:valAx>
        <c:axId val="42611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956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Analysis!B10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Analysis!$A$11:$A$14</c:f>
              <c:strCache>
                <c:ptCount val="4"/>
                <c:pt idx="0">
                  <c:v>Stationery</c:v>
                </c:pt>
                <c:pt idx="1">
                  <c:v>Snacks</c:v>
                </c:pt>
                <c:pt idx="2">
                  <c:v>Gadgets</c:v>
                </c:pt>
                <c:pt idx="3">
                  <c:v>Home</c:v>
                </c:pt>
              </c:strCache>
            </c:strRef>
          </c:cat>
          <c:val>
            <c:numRef>
              <c:f>Analysis!$B$11:$B$14</c:f>
              <c:numCache>
                <c:formatCode>#,##0</c:formatCode>
                <c:ptCount val="4"/>
                <c:pt idx="0">
                  <c:v>22590</c:v>
                </c:pt>
                <c:pt idx="1">
                  <c:v>29130</c:v>
                </c:pt>
                <c:pt idx="2">
                  <c:v>75600</c:v>
                </c:pt>
                <c:pt idx="3">
                  <c:v>77650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Analysis!$A$18:$A$29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Analysis!$C$18:$C$29</c:f>
              <c:numCache>
                <c:formatCode>#,##0</c:formatCode>
                <c:ptCount val="12"/>
                <c:pt idx="0">
                  <c:v>7730</c:v>
                </c:pt>
                <c:pt idx="1">
                  <c:v>27450</c:v>
                </c:pt>
                <c:pt idx="2">
                  <c:v>19700</c:v>
                </c:pt>
                <c:pt idx="3">
                  <c:v>11930</c:v>
                </c:pt>
                <c:pt idx="4">
                  <c:v>15360</c:v>
                </c:pt>
                <c:pt idx="5">
                  <c:v>13990</c:v>
                </c:pt>
                <c:pt idx="6">
                  <c:v>18130</c:v>
                </c:pt>
                <c:pt idx="7">
                  <c:v>9960</c:v>
                </c:pt>
                <c:pt idx="8">
                  <c:v>31890</c:v>
                </c:pt>
                <c:pt idx="9">
                  <c:v>10340</c:v>
                </c:pt>
                <c:pt idx="10">
                  <c:v>11450</c:v>
                </c:pt>
                <c:pt idx="11">
                  <c:v>27040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049391"/>
        <c:axId val="32017922"/>
      </c:lineChart>
      <c:catAx>
        <c:axId val="7604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17922"/>
        <c:crosses val="autoZero"/>
        <c:auto val="1"/>
        <c:lblAlgn val="ctr"/>
        <c:lblOffset val="100"/>
        <c:noMultiLvlLbl val="0"/>
      </c:catAx>
      <c:valAx>
        <c:axId val="320179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493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101160</xdr:rowOff>
    </xdr:from>
    <xdr:to>
      <xdr:col>4</xdr:col>
      <xdr:colOff>372600</xdr:colOff>
      <xdr:row>24</xdr:row>
      <xdr:rowOff>133560</xdr:rowOff>
    </xdr:to>
    <xdr:graphicFrame>
      <xdr:nvGraphicFramePr>
        <xdr:cNvPr id="0" name="Chart 1"/>
        <xdr:cNvGraphicFramePr/>
      </xdr:nvGraphicFramePr>
      <xdr:xfrm>
        <a:off x="0" y="20955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101160</xdr:rowOff>
    </xdr:from>
    <xdr:to>
      <xdr:col>10</xdr:col>
      <xdr:colOff>136080</xdr:colOff>
      <xdr:row>24</xdr:row>
      <xdr:rowOff>133560</xdr:rowOff>
    </xdr:to>
    <xdr:graphicFrame>
      <xdr:nvGraphicFramePr>
        <xdr:cNvPr id="1" name="Chart 2"/>
        <xdr:cNvGraphicFramePr/>
      </xdr:nvGraphicFramePr>
      <xdr:xfrm>
        <a:off x="4933800" y="20955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101160</xdr:rowOff>
    </xdr:from>
    <xdr:to>
      <xdr:col>9</xdr:col>
      <xdr:colOff>133920</xdr:colOff>
      <xdr:row>40</xdr:row>
      <xdr:rowOff>133920</xdr:rowOff>
    </xdr:to>
    <xdr:graphicFrame>
      <xdr:nvGraphicFramePr>
        <xdr:cNvPr id="2" name="Chart 3"/>
        <xdr:cNvGraphicFramePr/>
      </xdr:nvGraphicFramePr>
      <xdr:xfrm>
        <a:off x="0" y="514368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10</v>
      </c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9.7" hidden="false" customHeight="false" outlineLevel="0" collapsed="false">
      <c r="A1" s="1" t="s">
        <v>13</v>
      </c>
    </row>
    <row r="3" customFormat="false" ht="15" hidden="false" customHeight="false" outlineLevel="0" collapsed="false">
      <c r="A3" s="4" t="s">
        <v>14</v>
      </c>
      <c r="B3" s="4"/>
      <c r="C3" s="4" t="s">
        <v>15</v>
      </c>
      <c r="D3" s="4"/>
      <c r="E3" s="4" t="s">
        <v>16</v>
      </c>
      <c r="F3" s="4"/>
      <c r="G3" s="4" t="s">
        <v>17</v>
      </c>
      <c r="H3" s="4"/>
    </row>
    <row r="4" customFormat="false" ht="17.35" hidden="false" customHeight="false" outlineLevel="0" collapsed="false">
      <c r="A4" s="5" t="n">
        <f aca="false">SUM(Data!$H$2:$H$121)</f>
        <v>204970</v>
      </c>
      <c r="B4" s="5"/>
      <c r="C4" s="5" t="n">
        <f aca="false">COUNTA(Data!$A$2:$A$121)</f>
        <v>120</v>
      </c>
      <c r="D4" s="5"/>
      <c r="E4" s="5" t="n">
        <f aca="false">AVERAGE(Data!$H$2:$H$121)</f>
        <v>1708.08333333333</v>
      </c>
      <c r="F4" s="5"/>
      <c r="G4" s="5" t="n">
        <f aca="false">SUM(Data!$F$2:$F$121)</f>
        <v>537</v>
      </c>
      <c r="H4" s="5"/>
    </row>
    <row r="6" customFormat="false" ht="15" hidden="false" customHeight="false" outlineLevel="0" collapsed="false">
      <c r="A6" s="3" t="s">
        <v>18</v>
      </c>
    </row>
    <row r="7" customFormat="false" ht="15" hidden="false" customHeight="false" outlineLevel="0" collapsed="false">
      <c r="A7" s="2" t="str">
        <f aca="false">"Top region: "&amp;INDEX(Analysis!$A$4:$A$7,MATCH(MAX(Analysis!$B$4:$B$7),Analysis!$B$4:$B$7,0))&amp;" ("&amp;TEXT(MAX(Analysis!$D$4:$D$7),"0.0%")&amp;" of revenue)"</f>
        <v>Top region: West (31.5% of revenue)</v>
      </c>
    </row>
    <row r="8" customFormat="false" ht="15" hidden="false" customHeight="false" outlineLevel="0" collapsed="false">
      <c r="A8" s="2" t="str">
        <f aca="false">"Top category: "&amp;INDEX(Analysis!$A$11:$A$14,MATCH(MAX(Analysis!$B$11:$B$14),Analysis!$B$11:$B$14,0))</f>
        <v>Top category: Home</v>
      </c>
    </row>
    <row r="9" customFormat="false" ht="15" hidden="false" customHeight="false" outlineLevel="0" collapsed="false">
      <c r="A9" s="2" t="str">
        <f aca="false">"Best month: "&amp;INDEX(Analysis!$A$18:$A$29,MATCH(MAX(Analysis!$C$18:$C$29),Analysis!$C$18:$C$29,0))</f>
        <v>Best month: Sep</v>
      </c>
    </row>
    <row r="10" customFormat="false" ht="15" hidden="false" customHeight="false" outlineLevel="0" collapsed="false">
      <c r="A10" s="2" t="str">
        <f aca="false">"Weakest month: "&amp;INDEX(Analysis!$A$18:$A$29,MATCH(MIN(Analysis!$C$18:$C$29),Analysis!$C$18:$C$29,0))</f>
        <v>Weakest month: Jan</v>
      </c>
    </row>
  </sheetData>
  <mergeCells count="8">
    <mergeCell ref="A3:B3"/>
    <mergeCell ref="C3:D3"/>
    <mergeCell ref="E3:F3"/>
    <mergeCell ref="G3:H3"/>
    <mergeCell ref="A4:B4"/>
    <mergeCell ref="C4:D4"/>
    <mergeCell ref="E4:F4"/>
    <mergeCell ref="G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8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K1" s="3" t="s">
        <v>28</v>
      </c>
    </row>
    <row r="2" customFormat="false" ht="15" hidden="false" customHeight="false" outlineLevel="0" collapsed="false">
      <c r="A2" s="7" t="s">
        <v>29</v>
      </c>
      <c r="B2" s="8" t="n">
        <v>45658</v>
      </c>
      <c r="C2" s="7" t="s">
        <v>30</v>
      </c>
      <c r="D2" s="7" t="s">
        <v>31</v>
      </c>
      <c r="E2" s="7" t="s">
        <v>32</v>
      </c>
      <c r="F2" s="7" t="n">
        <v>6</v>
      </c>
      <c r="G2" s="9" t="n">
        <v>190</v>
      </c>
      <c r="H2" s="9" t="n">
        <f aca="false">F2*G2</f>
        <v>1140</v>
      </c>
      <c r="I2" s="7" t="n">
        <f aca="false">MONTH(B2)</f>
        <v>1</v>
      </c>
      <c r="K2" s="2" t="s">
        <v>33</v>
      </c>
    </row>
    <row r="3" customFormat="false" ht="15" hidden="false" customHeight="false" outlineLevel="0" collapsed="false">
      <c r="A3" s="7" t="s">
        <v>34</v>
      </c>
      <c r="B3" s="8" t="n">
        <v>45658</v>
      </c>
      <c r="C3" s="7" t="s">
        <v>30</v>
      </c>
      <c r="D3" s="7" t="s">
        <v>35</v>
      </c>
      <c r="E3" s="7" t="s">
        <v>36</v>
      </c>
      <c r="F3" s="7" t="n">
        <v>8</v>
      </c>
      <c r="G3" s="9" t="n">
        <v>400</v>
      </c>
      <c r="H3" s="9" t="n">
        <f aca="false">F3*G3</f>
        <v>3200</v>
      </c>
      <c r="I3" s="7" t="n">
        <f aca="false">MONTH(B3)</f>
        <v>1</v>
      </c>
      <c r="K3" s="2" t="s">
        <v>37</v>
      </c>
    </row>
    <row r="4" customFormat="false" ht="15" hidden="false" customHeight="false" outlineLevel="0" collapsed="false">
      <c r="A4" s="7" t="s">
        <v>38</v>
      </c>
      <c r="B4" s="8" t="n">
        <v>45672</v>
      </c>
      <c r="C4" s="7" t="s">
        <v>39</v>
      </c>
      <c r="D4" s="7" t="s">
        <v>35</v>
      </c>
      <c r="E4" s="7" t="s">
        <v>40</v>
      </c>
      <c r="F4" s="7" t="n">
        <v>4</v>
      </c>
      <c r="G4" s="9" t="n">
        <v>250</v>
      </c>
      <c r="H4" s="9" t="n">
        <f aca="false">F4*G4</f>
        <v>1000</v>
      </c>
      <c r="I4" s="7" t="n">
        <f aca="false">MONTH(B4)</f>
        <v>1</v>
      </c>
    </row>
    <row r="5" customFormat="false" ht="15" hidden="false" customHeight="false" outlineLevel="0" collapsed="false">
      <c r="A5" s="7" t="s">
        <v>41</v>
      </c>
      <c r="B5" s="8" t="n">
        <v>45675</v>
      </c>
      <c r="C5" s="7" t="s">
        <v>39</v>
      </c>
      <c r="D5" s="7" t="s">
        <v>35</v>
      </c>
      <c r="E5" s="7" t="s">
        <v>40</v>
      </c>
      <c r="F5" s="7" t="n">
        <v>3</v>
      </c>
      <c r="G5" s="9" t="n">
        <v>250</v>
      </c>
      <c r="H5" s="9" t="n">
        <f aca="false">F5*G5</f>
        <v>750</v>
      </c>
      <c r="I5" s="7" t="n">
        <f aca="false">MONTH(B5)</f>
        <v>1</v>
      </c>
    </row>
    <row r="6" customFormat="false" ht="15" hidden="false" customHeight="false" outlineLevel="0" collapsed="false">
      <c r="A6" s="7" t="s">
        <v>42</v>
      </c>
      <c r="B6" s="8" t="n">
        <v>45677</v>
      </c>
      <c r="C6" s="7" t="s">
        <v>43</v>
      </c>
      <c r="D6" s="7" t="s">
        <v>44</v>
      </c>
      <c r="E6" s="7" t="s">
        <v>45</v>
      </c>
      <c r="F6" s="7" t="n">
        <v>2</v>
      </c>
      <c r="G6" s="9" t="n">
        <v>120</v>
      </c>
      <c r="H6" s="9" t="n">
        <f aca="false">F6*G6</f>
        <v>240</v>
      </c>
      <c r="I6" s="7" t="n">
        <f aca="false">MONTH(B6)</f>
        <v>1</v>
      </c>
    </row>
    <row r="7" customFormat="false" ht="15" hidden="false" customHeight="false" outlineLevel="0" collapsed="false">
      <c r="A7" s="7" t="s">
        <v>46</v>
      </c>
      <c r="B7" s="8" t="n">
        <v>45683</v>
      </c>
      <c r="C7" s="7" t="s">
        <v>47</v>
      </c>
      <c r="D7" s="7" t="s">
        <v>31</v>
      </c>
      <c r="E7" s="7" t="s">
        <v>48</v>
      </c>
      <c r="F7" s="7" t="n">
        <v>5</v>
      </c>
      <c r="G7" s="9" t="n">
        <v>280</v>
      </c>
      <c r="H7" s="9" t="n">
        <f aca="false">F7*G7</f>
        <v>1400</v>
      </c>
      <c r="I7" s="7" t="n">
        <f aca="false">MONTH(B7)</f>
        <v>1</v>
      </c>
    </row>
    <row r="8" customFormat="false" ht="15" hidden="false" customHeight="false" outlineLevel="0" collapsed="false">
      <c r="A8" s="7" t="s">
        <v>49</v>
      </c>
      <c r="B8" s="8" t="n">
        <v>45689</v>
      </c>
      <c r="C8" s="7" t="s">
        <v>43</v>
      </c>
      <c r="D8" s="7" t="s">
        <v>35</v>
      </c>
      <c r="E8" s="7" t="s">
        <v>50</v>
      </c>
      <c r="F8" s="7" t="n">
        <v>5</v>
      </c>
      <c r="G8" s="9" t="n">
        <v>900</v>
      </c>
      <c r="H8" s="9" t="n">
        <f aca="false">F8*G8</f>
        <v>4500</v>
      </c>
      <c r="I8" s="7" t="n">
        <f aca="false">MONTH(B8)</f>
        <v>2</v>
      </c>
    </row>
    <row r="9" customFormat="false" ht="15" hidden="false" customHeight="false" outlineLevel="0" collapsed="false">
      <c r="A9" s="7" t="s">
        <v>51</v>
      </c>
      <c r="B9" s="8" t="n">
        <v>45689</v>
      </c>
      <c r="C9" s="7" t="s">
        <v>47</v>
      </c>
      <c r="D9" s="7" t="s">
        <v>31</v>
      </c>
      <c r="E9" s="7" t="s">
        <v>48</v>
      </c>
      <c r="F9" s="7" t="n">
        <v>8</v>
      </c>
      <c r="G9" s="9" t="n">
        <v>280</v>
      </c>
      <c r="H9" s="9" t="n">
        <f aca="false">F9*G9</f>
        <v>2240</v>
      </c>
      <c r="I9" s="7" t="n">
        <f aca="false">MONTH(B9)</f>
        <v>2</v>
      </c>
    </row>
    <row r="10" customFormat="false" ht="15" hidden="false" customHeight="false" outlineLevel="0" collapsed="false">
      <c r="A10" s="7" t="s">
        <v>52</v>
      </c>
      <c r="B10" s="8" t="n">
        <v>45689</v>
      </c>
      <c r="C10" s="7" t="s">
        <v>43</v>
      </c>
      <c r="D10" s="7" t="s">
        <v>35</v>
      </c>
      <c r="E10" s="7" t="s">
        <v>36</v>
      </c>
      <c r="F10" s="7" t="n">
        <v>3</v>
      </c>
      <c r="G10" s="9" t="n">
        <v>400</v>
      </c>
      <c r="H10" s="9" t="n">
        <f aca="false">F10*G10</f>
        <v>1200</v>
      </c>
      <c r="I10" s="7" t="n">
        <f aca="false">MONTH(B10)</f>
        <v>2</v>
      </c>
    </row>
    <row r="11" customFormat="false" ht="15" hidden="false" customHeight="false" outlineLevel="0" collapsed="false">
      <c r="A11" s="7" t="s">
        <v>53</v>
      </c>
      <c r="B11" s="8" t="n">
        <v>45693</v>
      </c>
      <c r="C11" s="7" t="s">
        <v>43</v>
      </c>
      <c r="D11" s="7" t="s">
        <v>44</v>
      </c>
      <c r="E11" s="7" t="s">
        <v>45</v>
      </c>
      <c r="F11" s="7" t="n">
        <v>2</v>
      </c>
      <c r="G11" s="9" t="n">
        <v>120</v>
      </c>
      <c r="H11" s="9" t="n">
        <f aca="false">F11*G11</f>
        <v>240</v>
      </c>
      <c r="I11" s="7" t="n">
        <f aca="false">MONTH(B11)</f>
        <v>2</v>
      </c>
    </row>
    <row r="12" customFormat="false" ht="15" hidden="false" customHeight="false" outlineLevel="0" collapsed="false">
      <c r="A12" s="7" t="s">
        <v>54</v>
      </c>
      <c r="B12" s="8" t="n">
        <v>45695</v>
      </c>
      <c r="C12" s="7" t="s">
        <v>30</v>
      </c>
      <c r="D12" s="7" t="s">
        <v>35</v>
      </c>
      <c r="E12" s="7" t="s">
        <v>40</v>
      </c>
      <c r="F12" s="7" t="n">
        <v>5</v>
      </c>
      <c r="G12" s="9" t="n">
        <v>250</v>
      </c>
      <c r="H12" s="9" t="n">
        <f aca="false">F12*G12</f>
        <v>1250</v>
      </c>
      <c r="I12" s="7" t="n">
        <f aca="false">MONTH(B12)</f>
        <v>2</v>
      </c>
    </row>
    <row r="13" customFormat="false" ht="15" hidden="false" customHeight="false" outlineLevel="0" collapsed="false">
      <c r="A13" s="7" t="s">
        <v>55</v>
      </c>
      <c r="B13" s="8" t="n">
        <v>45699</v>
      </c>
      <c r="C13" s="7" t="s">
        <v>43</v>
      </c>
      <c r="D13" s="7" t="s">
        <v>35</v>
      </c>
      <c r="E13" s="7" t="s">
        <v>50</v>
      </c>
      <c r="F13" s="7" t="n">
        <v>6</v>
      </c>
      <c r="G13" s="9" t="n">
        <v>900</v>
      </c>
      <c r="H13" s="9" t="n">
        <f aca="false">F13*G13</f>
        <v>5400</v>
      </c>
      <c r="I13" s="7" t="n">
        <f aca="false">MONTH(B13)</f>
        <v>2</v>
      </c>
    </row>
    <row r="14" customFormat="false" ht="15" hidden="false" customHeight="false" outlineLevel="0" collapsed="false">
      <c r="A14" s="7" t="s">
        <v>56</v>
      </c>
      <c r="B14" s="8" t="n">
        <v>45700</v>
      </c>
      <c r="C14" s="7" t="s">
        <v>39</v>
      </c>
      <c r="D14" s="7" t="s">
        <v>31</v>
      </c>
      <c r="E14" s="7" t="s">
        <v>48</v>
      </c>
      <c r="F14" s="7" t="n">
        <v>2</v>
      </c>
      <c r="G14" s="9" t="n">
        <v>280</v>
      </c>
      <c r="H14" s="9" t="n">
        <f aca="false">F14*G14</f>
        <v>560</v>
      </c>
      <c r="I14" s="7" t="n">
        <f aca="false">MONTH(B14)</f>
        <v>2</v>
      </c>
    </row>
    <row r="15" customFormat="false" ht="15" hidden="false" customHeight="false" outlineLevel="0" collapsed="false">
      <c r="A15" s="7" t="s">
        <v>57</v>
      </c>
      <c r="B15" s="8" t="n">
        <v>45701</v>
      </c>
      <c r="C15" s="7" t="s">
        <v>30</v>
      </c>
      <c r="D15" s="7" t="s">
        <v>35</v>
      </c>
      <c r="E15" s="7" t="s">
        <v>36</v>
      </c>
      <c r="F15" s="7" t="n">
        <v>3</v>
      </c>
      <c r="G15" s="9" t="n">
        <v>400</v>
      </c>
      <c r="H15" s="9" t="n">
        <f aca="false">F15*G15</f>
        <v>1200</v>
      </c>
      <c r="I15" s="7" t="n">
        <f aca="false">MONTH(B15)</f>
        <v>2</v>
      </c>
    </row>
    <row r="16" customFormat="false" ht="15" hidden="false" customHeight="false" outlineLevel="0" collapsed="false">
      <c r="A16" s="7" t="s">
        <v>58</v>
      </c>
      <c r="B16" s="8" t="n">
        <v>45701</v>
      </c>
      <c r="C16" s="7" t="s">
        <v>39</v>
      </c>
      <c r="D16" s="7" t="s">
        <v>59</v>
      </c>
      <c r="E16" s="7" t="s">
        <v>60</v>
      </c>
      <c r="F16" s="7" t="n">
        <v>4</v>
      </c>
      <c r="G16" s="9" t="n">
        <v>650</v>
      </c>
      <c r="H16" s="9" t="n">
        <f aca="false">F16*G16</f>
        <v>2600</v>
      </c>
      <c r="I16" s="7" t="n">
        <f aca="false">MONTH(B16)</f>
        <v>2</v>
      </c>
    </row>
    <row r="17" customFormat="false" ht="15" hidden="false" customHeight="false" outlineLevel="0" collapsed="false">
      <c r="A17" s="7" t="s">
        <v>61</v>
      </c>
      <c r="B17" s="8" t="n">
        <v>45701</v>
      </c>
      <c r="C17" s="7" t="s">
        <v>43</v>
      </c>
      <c r="D17" s="7" t="s">
        <v>31</v>
      </c>
      <c r="E17" s="7" t="s">
        <v>32</v>
      </c>
      <c r="F17" s="7" t="n">
        <v>6</v>
      </c>
      <c r="G17" s="9" t="n">
        <v>190</v>
      </c>
      <c r="H17" s="9" t="n">
        <f aca="false">F17*G17</f>
        <v>1140</v>
      </c>
      <c r="I17" s="7" t="n">
        <f aca="false">MONTH(B17)</f>
        <v>2</v>
      </c>
    </row>
    <row r="18" customFormat="false" ht="15" hidden="false" customHeight="false" outlineLevel="0" collapsed="false">
      <c r="A18" s="7" t="s">
        <v>62</v>
      </c>
      <c r="B18" s="8" t="n">
        <v>45706</v>
      </c>
      <c r="C18" s="7" t="s">
        <v>47</v>
      </c>
      <c r="D18" s="7" t="s">
        <v>59</v>
      </c>
      <c r="E18" s="7" t="s">
        <v>63</v>
      </c>
      <c r="F18" s="7" t="n">
        <v>4</v>
      </c>
      <c r="G18" s="9" t="n">
        <v>1100</v>
      </c>
      <c r="H18" s="9" t="n">
        <f aca="false">F18*G18</f>
        <v>4400</v>
      </c>
      <c r="I18" s="7" t="n">
        <f aca="false">MONTH(B18)</f>
        <v>2</v>
      </c>
    </row>
    <row r="19" customFormat="false" ht="15" hidden="false" customHeight="false" outlineLevel="0" collapsed="false">
      <c r="A19" s="7" t="s">
        <v>64</v>
      </c>
      <c r="B19" s="8" t="n">
        <v>45707</v>
      </c>
      <c r="C19" s="7" t="s">
        <v>30</v>
      </c>
      <c r="D19" s="7" t="s">
        <v>44</v>
      </c>
      <c r="E19" s="7" t="s">
        <v>65</v>
      </c>
      <c r="F19" s="7" t="n">
        <v>4</v>
      </c>
      <c r="G19" s="9" t="n">
        <v>350</v>
      </c>
      <c r="H19" s="9" t="n">
        <f aca="false">F19*G19</f>
        <v>1400</v>
      </c>
      <c r="I19" s="7" t="n">
        <f aca="false">MONTH(B19)</f>
        <v>2</v>
      </c>
    </row>
    <row r="20" customFormat="false" ht="15" hidden="false" customHeight="false" outlineLevel="0" collapsed="false">
      <c r="A20" s="7" t="s">
        <v>66</v>
      </c>
      <c r="B20" s="8" t="n">
        <v>45710</v>
      </c>
      <c r="C20" s="7" t="s">
        <v>47</v>
      </c>
      <c r="D20" s="7" t="s">
        <v>31</v>
      </c>
      <c r="E20" s="7" t="s">
        <v>67</v>
      </c>
      <c r="F20" s="7" t="n">
        <v>6</v>
      </c>
      <c r="G20" s="9" t="n">
        <v>220</v>
      </c>
      <c r="H20" s="9" t="n">
        <f aca="false">F20*G20</f>
        <v>1320</v>
      </c>
      <c r="I20" s="7" t="n">
        <f aca="false">MONTH(B20)</f>
        <v>2</v>
      </c>
    </row>
    <row r="21" customFormat="false" ht="15" hidden="false" customHeight="false" outlineLevel="0" collapsed="false">
      <c r="A21" s="7" t="s">
        <v>68</v>
      </c>
      <c r="B21" s="8" t="n">
        <v>45720</v>
      </c>
      <c r="C21" s="7" t="s">
        <v>43</v>
      </c>
      <c r="D21" s="7" t="s">
        <v>44</v>
      </c>
      <c r="E21" s="7" t="s">
        <v>45</v>
      </c>
      <c r="F21" s="7" t="n">
        <v>8</v>
      </c>
      <c r="G21" s="9" t="n">
        <v>120</v>
      </c>
      <c r="H21" s="9" t="n">
        <f aca="false">F21*G21</f>
        <v>960</v>
      </c>
      <c r="I21" s="7" t="n">
        <f aca="false">MONTH(B21)</f>
        <v>3</v>
      </c>
    </row>
    <row r="22" customFormat="false" ht="15" hidden="false" customHeight="false" outlineLevel="0" collapsed="false">
      <c r="A22" s="7" t="s">
        <v>69</v>
      </c>
      <c r="B22" s="8" t="n">
        <v>45720</v>
      </c>
      <c r="C22" s="7" t="s">
        <v>39</v>
      </c>
      <c r="D22" s="7" t="s">
        <v>59</v>
      </c>
      <c r="E22" s="7" t="s">
        <v>63</v>
      </c>
      <c r="F22" s="7" t="n">
        <v>2</v>
      </c>
      <c r="G22" s="9" t="n">
        <v>1100</v>
      </c>
      <c r="H22" s="9" t="n">
        <f aca="false">F22*G22</f>
        <v>2200</v>
      </c>
      <c r="I22" s="7" t="n">
        <f aca="false">MONTH(B22)</f>
        <v>3</v>
      </c>
    </row>
    <row r="23" customFormat="false" ht="15" hidden="false" customHeight="false" outlineLevel="0" collapsed="false">
      <c r="A23" s="7" t="s">
        <v>70</v>
      </c>
      <c r="B23" s="8" t="n">
        <v>45723</v>
      </c>
      <c r="C23" s="7" t="s">
        <v>43</v>
      </c>
      <c r="D23" s="7" t="s">
        <v>44</v>
      </c>
      <c r="E23" s="7" t="s">
        <v>71</v>
      </c>
      <c r="F23" s="7" t="n">
        <v>3</v>
      </c>
      <c r="G23" s="9" t="n">
        <v>60</v>
      </c>
      <c r="H23" s="9" t="n">
        <f aca="false">F23*G23</f>
        <v>180</v>
      </c>
      <c r="I23" s="7" t="n">
        <f aca="false">MONTH(B23)</f>
        <v>3</v>
      </c>
    </row>
    <row r="24" customFormat="false" ht="15" hidden="false" customHeight="false" outlineLevel="0" collapsed="false">
      <c r="A24" s="7" t="s">
        <v>72</v>
      </c>
      <c r="B24" s="8" t="n">
        <v>45726</v>
      </c>
      <c r="C24" s="7" t="s">
        <v>43</v>
      </c>
      <c r="D24" s="7" t="s">
        <v>35</v>
      </c>
      <c r="E24" s="7" t="s">
        <v>40</v>
      </c>
      <c r="F24" s="7" t="n">
        <v>8</v>
      </c>
      <c r="G24" s="9" t="n">
        <v>250</v>
      </c>
      <c r="H24" s="9" t="n">
        <f aca="false">F24*G24</f>
        <v>2000</v>
      </c>
      <c r="I24" s="7" t="n">
        <f aca="false">MONTH(B24)</f>
        <v>3</v>
      </c>
    </row>
    <row r="25" customFormat="false" ht="15" hidden="false" customHeight="false" outlineLevel="0" collapsed="false">
      <c r="A25" s="7" t="s">
        <v>73</v>
      </c>
      <c r="B25" s="8" t="n">
        <v>45731</v>
      </c>
      <c r="C25" s="7" t="s">
        <v>43</v>
      </c>
      <c r="D25" s="7" t="s">
        <v>35</v>
      </c>
      <c r="E25" s="7" t="s">
        <v>40</v>
      </c>
      <c r="F25" s="7" t="n">
        <v>4</v>
      </c>
      <c r="G25" s="9" t="n">
        <v>250</v>
      </c>
      <c r="H25" s="9" t="n">
        <f aca="false">F25*G25</f>
        <v>1000</v>
      </c>
      <c r="I25" s="7" t="n">
        <f aca="false">MONTH(B25)</f>
        <v>3</v>
      </c>
    </row>
    <row r="26" customFormat="false" ht="15" hidden="false" customHeight="false" outlineLevel="0" collapsed="false">
      <c r="A26" s="7" t="s">
        <v>74</v>
      </c>
      <c r="B26" s="8" t="n">
        <v>45734</v>
      </c>
      <c r="C26" s="7" t="s">
        <v>39</v>
      </c>
      <c r="D26" s="7" t="s">
        <v>35</v>
      </c>
      <c r="E26" s="7" t="s">
        <v>36</v>
      </c>
      <c r="F26" s="7" t="n">
        <v>8</v>
      </c>
      <c r="G26" s="9" t="n">
        <v>400</v>
      </c>
      <c r="H26" s="9" t="n">
        <f aca="false">F26*G26</f>
        <v>3200</v>
      </c>
      <c r="I26" s="7" t="n">
        <f aca="false">MONTH(B26)</f>
        <v>3</v>
      </c>
    </row>
    <row r="27" customFormat="false" ht="15" hidden="false" customHeight="false" outlineLevel="0" collapsed="false">
      <c r="A27" s="7" t="s">
        <v>75</v>
      </c>
      <c r="B27" s="8" t="n">
        <v>45734</v>
      </c>
      <c r="C27" s="7" t="s">
        <v>39</v>
      </c>
      <c r="D27" s="7" t="s">
        <v>59</v>
      </c>
      <c r="E27" s="7" t="s">
        <v>60</v>
      </c>
      <c r="F27" s="7" t="n">
        <v>2</v>
      </c>
      <c r="G27" s="9" t="n">
        <v>650</v>
      </c>
      <c r="H27" s="9" t="n">
        <f aca="false">F27*G27</f>
        <v>1300</v>
      </c>
      <c r="I27" s="7" t="n">
        <f aca="false">MONTH(B27)</f>
        <v>3</v>
      </c>
    </row>
    <row r="28" customFormat="false" ht="15" hidden="false" customHeight="false" outlineLevel="0" collapsed="false">
      <c r="A28" s="7" t="s">
        <v>76</v>
      </c>
      <c r="B28" s="8" t="n">
        <v>45735</v>
      </c>
      <c r="C28" s="7" t="s">
        <v>47</v>
      </c>
      <c r="D28" s="7" t="s">
        <v>44</v>
      </c>
      <c r="E28" s="7" t="s">
        <v>71</v>
      </c>
      <c r="F28" s="7" t="n">
        <v>4</v>
      </c>
      <c r="G28" s="9" t="n">
        <v>60</v>
      </c>
      <c r="H28" s="9" t="n">
        <f aca="false">F28*G28</f>
        <v>240</v>
      </c>
      <c r="I28" s="7" t="n">
        <f aca="false">MONTH(B28)</f>
        <v>3</v>
      </c>
    </row>
    <row r="29" customFormat="false" ht="15" hidden="false" customHeight="false" outlineLevel="0" collapsed="false">
      <c r="A29" s="7" t="s">
        <v>77</v>
      </c>
      <c r="B29" s="8" t="n">
        <v>45738</v>
      </c>
      <c r="C29" s="7" t="s">
        <v>30</v>
      </c>
      <c r="D29" s="7" t="s">
        <v>35</v>
      </c>
      <c r="E29" s="7" t="s">
        <v>36</v>
      </c>
      <c r="F29" s="7" t="n">
        <v>5</v>
      </c>
      <c r="G29" s="9" t="n">
        <v>400</v>
      </c>
      <c r="H29" s="9" t="n">
        <f aca="false">F29*G29</f>
        <v>2000</v>
      </c>
      <c r="I29" s="7" t="n">
        <f aca="false">MONTH(B29)</f>
        <v>3</v>
      </c>
    </row>
    <row r="30" customFormat="false" ht="15" hidden="false" customHeight="false" outlineLevel="0" collapsed="false">
      <c r="A30" s="7" t="s">
        <v>78</v>
      </c>
      <c r="B30" s="8" t="n">
        <v>45740</v>
      </c>
      <c r="C30" s="7" t="s">
        <v>43</v>
      </c>
      <c r="D30" s="7" t="s">
        <v>59</v>
      </c>
      <c r="E30" s="7" t="s">
        <v>60</v>
      </c>
      <c r="F30" s="7" t="n">
        <v>6</v>
      </c>
      <c r="G30" s="9" t="n">
        <v>650</v>
      </c>
      <c r="H30" s="9" t="n">
        <f aca="false">F30*G30</f>
        <v>3900</v>
      </c>
      <c r="I30" s="7" t="n">
        <f aca="false">MONTH(B30)</f>
        <v>3</v>
      </c>
    </row>
    <row r="31" customFormat="false" ht="15" hidden="false" customHeight="false" outlineLevel="0" collapsed="false">
      <c r="A31" s="7" t="s">
        <v>79</v>
      </c>
      <c r="B31" s="8" t="n">
        <v>45740</v>
      </c>
      <c r="C31" s="7" t="s">
        <v>47</v>
      </c>
      <c r="D31" s="7" t="s">
        <v>35</v>
      </c>
      <c r="E31" s="7" t="s">
        <v>40</v>
      </c>
      <c r="F31" s="7" t="n">
        <v>4</v>
      </c>
      <c r="G31" s="9" t="n">
        <v>250</v>
      </c>
      <c r="H31" s="9" t="n">
        <f aca="false">F31*G31</f>
        <v>1000</v>
      </c>
      <c r="I31" s="7" t="n">
        <f aca="false">MONTH(B31)</f>
        <v>3</v>
      </c>
    </row>
    <row r="32" customFormat="false" ht="15" hidden="false" customHeight="false" outlineLevel="0" collapsed="false">
      <c r="A32" s="7" t="s">
        <v>80</v>
      </c>
      <c r="B32" s="8" t="n">
        <v>45741</v>
      </c>
      <c r="C32" s="7" t="s">
        <v>30</v>
      </c>
      <c r="D32" s="7" t="s">
        <v>44</v>
      </c>
      <c r="E32" s="7" t="s">
        <v>45</v>
      </c>
      <c r="F32" s="7" t="n">
        <v>2</v>
      </c>
      <c r="G32" s="9" t="n">
        <v>120</v>
      </c>
      <c r="H32" s="9" t="n">
        <f aca="false">F32*G32</f>
        <v>240</v>
      </c>
      <c r="I32" s="7" t="n">
        <f aca="false">MONTH(B32)</f>
        <v>3</v>
      </c>
    </row>
    <row r="33" customFormat="false" ht="15" hidden="false" customHeight="false" outlineLevel="0" collapsed="false">
      <c r="A33" s="7" t="s">
        <v>81</v>
      </c>
      <c r="B33" s="8" t="n">
        <v>45743</v>
      </c>
      <c r="C33" s="7" t="s">
        <v>39</v>
      </c>
      <c r="D33" s="7" t="s">
        <v>35</v>
      </c>
      <c r="E33" s="7" t="s">
        <v>40</v>
      </c>
      <c r="F33" s="7" t="n">
        <v>4</v>
      </c>
      <c r="G33" s="9" t="n">
        <v>250</v>
      </c>
      <c r="H33" s="9" t="n">
        <f aca="false">F33*G33</f>
        <v>1000</v>
      </c>
      <c r="I33" s="7" t="n">
        <f aca="false">MONTH(B33)</f>
        <v>3</v>
      </c>
    </row>
    <row r="34" customFormat="false" ht="15" hidden="false" customHeight="false" outlineLevel="0" collapsed="false">
      <c r="A34" s="7" t="s">
        <v>82</v>
      </c>
      <c r="B34" s="8" t="n">
        <v>45744</v>
      </c>
      <c r="C34" s="7" t="s">
        <v>30</v>
      </c>
      <c r="D34" s="7" t="s">
        <v>44</v>
      </c>
      <c r="E34" s="7" t="s">
        <v>45</v>
      </c>
      <c r="F34" s="7" t="n">
        <v>4</v>
      </c>
      <c r="G34" s="9" t="n">
        <v>120</v>
      </c>
      <c r="H34" s="9" t="n">
        <f aca="false">F34*G34</f>
        <v>480</v>
      </c>
      <c r="I34" s="7" t="n">
        <f aca="false">MONTH(B34)</f>
        <v>3</v>
      </c>
    </row>
    <row r="35" customFormat="false" ht="15" hidden="false" customHeight="false" outlineLevel="0" collapsed="false">
      <c r="A35" s="7" t="s">
        <v>83</v>
      </c>
      <c r="B35" s="8" t="n">
        <v>45751</v>
      </c>
      <c r="C35" s="7" t="s">
        <v>47</v>
      </c>
      <c r="D35" s="7" t="s">
        <v>44</v>
      </c>
      <c r="E35" s="7" t="s">
        <v>71</v>
      </c>
      <c r="F35" s="7" t="n">
        <v>3</v>
      </c>
      <c r="G35" s="9" t="n">
        <v>60</v>
      </c>
      <c r="H35" s="9" t="n">
        <f aca="false">F35*G35</f>
        <v>180</v>
      </c>
      <c r="I35" s="7" t="n">
        <f aca="false">MONTH(B35)</f>
        <v>4</v>
      </c>
    </row>
    <row r="36" customFormat="false" ht="15" hidden="false" customHeight="false" outlineLevel="0" collapsed="false">
      <c r="A36" s="7" t="s">
        <v>84</v>
      </c>
      <c r="B36" s="8" t="n">
        <v>45755</v>
      </c>
      <c r="C36" s="7" t="s">
        <v>30</v>
      </c>
      <c r="D36" s="7" t="s">
        <v>35</v>
      </c>
      <c r="E36" s="7" t="s">
        <v>40</v>
      </c>
      <c r="F36" s="7" t="n">
        <v>8</v>
      </c>
      <c r="G36" s="9" t="n">
        <v>250</v>
      </c>
      <c r="H36" s="9" t="n">
        <f aca="false">F36*G36</f>
        <v>2000</v>
      </c>
      <c r="I36" s="7" t="n">
        <f aca="false">MONTH(B36)</f>
        <v>4</v>
      </c>
    </row>
    <row r="37" customFormat="false" ht="15" hidden="false" customHeight="false" outlineLevel="0" collapsed="false">
      <c r="A37" s="7" t="s">
        <v>85</v>
      </c>
      <c r="B37" s="8" t="n">
        <v>45760</v>
      </c>
      <c r="C37" s="7" t="s">
        <v>30</v>
      </c>
      <c r="D37" s="7" t="s">
        <v>59</v>
      </c>
      <c r="E37" s="7" t="s">
        <v>63</v>
      </c>
      <c r="F37" s="7" t="n">
        <v>1</v>
      </c>
      <c r="G37" s="9" t="n">
        <v>1100</v>
      </c>
      <c r="H37" s="9" t="n">
        <f aca="false">F37*G37</f>
        <v>1100</v>
      </c>
      <c r="I37" s="7" t="n">
        <f aca="false">MONTH(B37)</f>
        <v>4</v>
      </c>
    </row>
    <row r="38" customFormat="false" ht="15" hidden="false" customHeight="false" outlineLevel="0" collapsed="false">
      <c r="A38" s="7" t="s">
        <v>86</v>
      </c>
      <c r="B38" s="8" t="n">
        <v>45762</v>
      </c>
      <c r="C38" s="7" t="s">
        <v>30</v>
      </c>
      <c r="D38" s="7" t="s">
        <v>59</v>
      </c>
      <c r="E38" s="7" t="s">
        <v>60</v>
      </c>
      <c r="F38" s="7" t="n">
        <v>8</v>
      </c>
      <c r="G38" s="9" t="n">
        <v>650</v>
      </c>
      <c r="H38" s="9" t="n">
        <f aca="false">F38*G38</f>
        <v>5200</v>
      </c>
      <c r="I38" s="7" t="n">
        <f aca="false">MONTH(B38)</f>
        <v>4</v>
      </c>
    </row>
    <row r="39" customFormat="false" ht="15" hidden="false" customHeight="false" outlineLevel="0" collapsed="false">
      <c r="A39" s="7" t="s">
        <v>87</v>
      </c>
      <c r="B39" s="8" t="n">
        <v>45763</v>
      </c>
      <c r="C39" s="7" t="s">
        <v>30</v>
      </c>
      <c r="D39" s="7" t="s">
        <v>35</v>
      </c>
      <c r="E39" s="7" t="s">
        <v>40</v>
      </c>
      <c r="F39" s="7" t="n">
        <v>5</v>
      </c>
      <c r="G39" s="9" t="n">
        <v>250</v>
      </c>
      <c r="H39" s="9" t="n">
        <f aca="false">F39*G39</f>
        <v>1250</v>
      </c>
      <c r="I39" s="7" t="n">
        <f aca="false">MONTH(B39)</f>
        <v>4</v>
      </c>
    </row>
    <row r="40" customFormat="false" ht="15" hidden="false" customHeight="false" outlineLevel="0" collapsed="false">
      <c r="A40" s="7" t="s">
        <v>88</v>
      </c>
      <c r="B40" s="8" t="n">
        <v>45776</v>
      </c>
      <c r="C40" s="7" t="s">
        <v>43</v>
      </c>
      <c r="D40" s="7" t="s">
        <v>59</v>
      </c>
      <c r="E40" s="7" t="s">
        <v>63</v>
      </c>
      <c r="F40" s="7" t="n">
        <v>2</v>
      </c>
      <c r="G40" s="9" t="n">
        <v>1100</v>
      </c>
      <c r="H40" s="9" t="n">
        <f aca="false">F40*G40</f>
        <v>2200</v>
      </c>
      <c r="I40" s="7" t="n">
        <f aca="false">MONTH(B40)</f>
        <v>4</v>
      </c>
    </row>
    <row r="41" customFormat="false" ht="15" hidden="false" customHeight="false" outlineLevel="0" collapsed="false">
      <c r="A41" s="7" t="s">
        <v>89</v>
      </c>
      <c r="B41" s="8" t="n">
        <v>45781</v>
      </c>
      <c r="C41" s="7" t="s">
        <v>43</v>
      </c>
      <c r="D41" s="7" t="s">
        <v>44</v>
      </c>
      <c r="E41" s="7" t="s">
        <v>65</v>
      </c>
      <c r="F41" s="7" t="n">
        <v>1</v>
      </c>
      <c r="G41" s="9" t="n">
        <v>350</v>
      </c>
      <c r="H41" s="9" t="n">
        <f aca="false">F41*G41</f>
        <v>350</v>
      </c>
      <c r="I41" s="7" t="n">
        <f aca="false">MONTH(B41)</f>
        <v>5</v>
      </c>
    </row>
    <row r="42" customFormat="false" ht="15" hidden="false" customHeight="false" outlineLevel="0" collapsed="false">
      <c r="A42" s="7" t="s">
        <v>90</v>
      </c>
      <c r="B42" s="8" t="n">
        <v>45786</v>
      </c>
      <c r="C42" s="7" t="s">
        <v>30</v>
      </c>
      <c r="D42" s="7" t="s">
        <v>44</v>
      </c>
      <c r="E42" s="7" t="s">
        <v>71</v>
      </c>
      <c r="F42" s="7" t="n">
        <v>4</v>
      </c>
      <c r="G42" s="9" t="n">
        <v>60</v>
      </c>
      <c r="H42" s="9" t="n">
        <f aca="false">F42*G42</f>
        <v>240</v>
      </c>
      <c r="I42" s="7" t="n">
        <f aca="false">MONTH(B42)</f>
        <v>5</v>
      </c>
    </row>
    <row r="43" customFormat="false" ht="15" hidden="false" customHeight="false" outlineLevel="0" collapsed="false">
      <c r="A43" s="7" t="s">
        <v>91</v>
      </c>
      <c r="B43" s="8" t="n">
        <v>45787</v>
      </c>
      <c r="C43" s="7" t="s">
        <v>47</v>
      </c>
      <c r="D43" s="7" t="s">
        <v>44</v>
      </c>
      <c r="E43" s="7" t="s">
        <v>45</v>
      </c>
      <c r="F43" s="7" t="n">
        <v>4</v>
      </c>
      <c r="G43" s="9" t="n">
        <v>120</v>
      </c>
      <c r="H43" s="9" t="n">
        <f aca="false">F43*G43</f>
        <v>480</v>
      </c>
      <c r="I43" s="7" t="n">
        <f aca="false">MONTH(B43)</f>
        <v>5</v>
      </c>
    </row>
    <row r="44" customFormat="false" ht="15" hidden="false" customHeight="false" outlineLevel="0" collapsed="false">
      <c r="A44" s="7" t="s">
        <v>92</v>
      </c>
      <c r="B44" s="8" t="n">
        <v>45792</v>
      </c>
      <c r="C44" s="7" t="s">
        <v>47</v>
      </c>
      <c r="D44" s="7" t="s">
        <v>35</v>
      </c>
      <c r="E44" s="7" t="s">
        <v>40</v>
      </c>
      <c r="F44" s="7" t="n">
        <v>7</v>
      </c>
      <c r="G44" s="9" t="n">
        <v>250</v>
      </c>
      <c r="H44" s="9" t="n">
        <f aca="false">F44*G44</f>
        <v>1750</v>
      </c>
      <c r="I44" s="7" t="n">
        <f aca="false">MONTH(B44)</f>
        <v>5</v>
      </c>
    </row>
    <row r="45" customFormat="false" ht="15" hidden="false" customHeight="false" outlineLevel="0" collapsed="false">
      <c r="A45" s="7" t="s">
        <v>93</v>
      </c>
      <c r="B45" s="8" t="n">
        <v>45793</v>
      </c>
      <c r="C45" s="7" t="s">
        <v>43</v>
      </c>
      <c r="D45" s="7" t="s">
        <v>44</v>
      </c>
      <c r="E45" s="7" t="s">
        <v>71</v>
      </c>
      <c r="F45" s="7" t="n">
        <v>1</v>
      </c>
      <c r="G45" s="9" t="n">
        <v>60</v>
      </c>
      <c r="H45" s="9" t="n">
        <f aca="false">F45*G45</f>
        <v>60</v>
      </c>
      <c r="I45" s="7" t="n">
        <f aca="false">MONTH(B45)</f>
        <v>5</v>
      </c>
    </row>
    <row r="46" customFormat="false" ht="15" hidden="false" customHeight="false" outlineLevel="0" collapsed="false">
      <c r="A46" s="7" t="s">
        <v>94</v>
      </c>
      <c r="B46" s="8" t="n">
        <v>45796</v>
      </c>
      <c r="C46" s="7" t="s">
        <v>39</v>
      </c>
      <c r="D46" s="7" t="s">
        <v>31</v>
      </c>
      <c r="E46" s="7" t="s">
        <v>67</v>
      </c>
      <c r="F46" s="7" t="n">
        <v>7</v>
      </c>
      <c r="G46" s="9" t="n">
        <v>220</v>
      </c>
      <c r="H46" s="9" t="n">
        <f aca="false">F46*G46</f>
        <v>1540</v>
      </c>
      <c r="I46" s="7" t="n">
        <f aca="false">MONTH(B46)</f>
        <v>5</v>
      </c>
    </row>
    <row r="47" customFormat="false" ht="15" hidden="false" customHeight="false" outlineLevel="0" collapsed="false">
      <c r="A47" s="7" t="s">
        <v>95</v>
      </c>
      <c r="B47" s="8" t="n">
        <v>45800</v>
      </c>
      <c r="C47" s="7" t="s">
        <v>47</v>
      </c>
      <c r="D47" s="7" t="s">
        <v>44</v>
      </c>
      <c r="E47" s="7" t="s">
        <v>65</v>
      </c>
      <c r="F47" s="7" t="n">
        <v>7</v>
      </c>
      <c r="G47" s="9" t="n">
        <v>350</v>
      </c>
      <c r="H47" s="9" t="n">
        <f aca="false">F47*G47</f>
        <v>2450</v>
      </c>
      <c r="I47" s="7" t="n">
        <f aca="false">MONTH(B47)</f>
        <v>5</v>
      </c>
    </row>
    <row r="48" customFormat="false" ht="15" hidden="false" customHeight="false" outlineLevel="0" collapsed="false">
      <c r="A48" s="7" t="s">
        <v>96</v>
      </c>
      <c r="B48" s="8" t="n">
        <v>45800</v>
      </c>
      <c r="C48" s="7" t="s">
        <v>30</v>
      </c>
      <c r="D48" s="7" t="s">
        <v>31</v>
      </c>
      <c r="E48" s="7" t="s">
        <v>48</v>
      </c>
      <c r="F48" s="7" t="n">
        <v>2</v>
      </c>
      <c r="G48" s="9" t="n">
        <v>280</v>
      </c>
      <c r="H48" s="9" t="n">
        <f aca="false">F48*G48</f>
        <v>560</v>
      </c>
      <c r="I48" s="7" t="n">
        <f aca="false">MONTH(B48)</f>
        <v>5</v>
      </c>
    </row>
    <row r="49" customFormat="false" ht="15" hidden="false" customHeight="false" outlineLevel="0" collapsed="false">
      <c r="A49" s="7" t="s">
        <v>97</v>
      </c>
      <c r="B49" s="8" t="n">
        <v>45801</v>
      </c>
      <c r="C49" s="7" t="s">
        <v>47</v>
      </c>
      <c r="D49" s="7" t="s">
        <v>59</v>
      </c>
      <c r="E49" s="7" t="s">
        <v>63</v>
      </c>
      <c r="F49" s="7" t="n">
        <v>6</v>
      </c>
      <c r="G49" s="9" t="n">
        <v>1100</v>
      </c>
      <c r="H49" s="9" t="n">
        <f aca="false">F49*G49</f>
        <v>6600</v>
      </c>
      <c r="I49" s="7" t="n">
        <f aca="false">MONTH(B49)</f>
        <v>5</v>
      </c>
    </row>
    <row r="50" customFormat="false" ht="15" hidden="false" customHeight="false" outlineLevel="0" collapsed="false">
      <c r="A50" s="7" t="s">
        <v>98</v>
      </c>
      <c r="B50" s="8" t="n">
        <v>45805</v>
      </c>
      <c r="C50" s="7" t="s">
        <v>47</v>
      </c>
      <c r="D50" s="7" t="s">
        <v>31</v>
      </c>
      <c r="E50" s="7" t="s">
        <v>32</v>
      </c>
      <c r="F50" s="7" t="n">
        <v>7</v>
      </c>
      <c r="G50" s="9" t="n">
        <v>190</v>
      </c>
      <c r="H50" s="9" t="n">
        <f aca="false">F50*G50</f>
        <v>1330</v>
      </c>
      <c r="I50" s="7" t="n">
        <f aca="false">MONTH(B50)</f>
        <v>5</v>
      </c>
    </row>
    <row r="51" customFormat="false" ht="15" hidden="false" customHeight="false" outlineLevel="0" collapsed="false">
      <c r="A51" s="7" t="s">
        <v>99</v>
      </c>
      <c r="B51" s="8" t="n">
        <v>45817</v>
      </c>
      <c r="C51" s="7" t="s">
        <v>47</v>
      </c>
      <c r="D51" s="7" t="s">
        <v>35</v>
      </c>
      <c r="E51" s="7" t="s">
        <v>50</v>
      </c>
      <c r="F51" s="7" t="n">
        <v>5</v>
      </c>
      <c r="G51" s="9" t="n">
        <v>900</v>
      </c>
      <c r="H51" s="9" t="n">
        <f aca="false">F51*G51</f>
        <v>4500</v>
      </c>
      <c r="I51" s="7" t="n">
        <f aca="false">MONTH(B51)</f>
        <v>6</v>
      </c>
    </row>
    <row r="52" customFormat="false" ht="15" hidden="false" customHeight="false" outlineLevel="0" collapsed="false">
      <c r="A52" s="7" t="s">
        <v>100</v>
      </c>
      <c r="B52" s="8" t="n">
        <v>45823</v>
      </c>
      <c r="C52" s="7" t="s">
        <v>30</v>
      </c>
      <c r="D52" s="7" t="s">
        <v>31</v>
      </c>
      <c r="E52" s="7" t="s">
        <v>67</v>
      </c>
      <c r="F52" s="7" t="n">
        <v>2</v>
      </c>
      <c r="G52" s="9" t="n">
        <v>220</v>
      </c>
      <c r="H52" s="9" t="n">
        <f aca="false">F52*G52</f>
        <v>440</v>
      </c>
      <c r="I52" s="7" t="n">
        <f aca="false">MONTH(B52)</f>
        <v>6</v>
      </c>
    </row>
    <row r="53" customFormat="false" ht="15" hidden="false" customHeight="false" outlineLevel="0" collapsed="false">
      <c r="A53" s="7" t="s">
        <v>101</v>
      </c>
      <c r="B53" s="8" t="n">
        <v>45832</v>
      </c>
      <c r="C53" s="7" t="s">
        <v>43</v>
      </c>
      <c r="D53" s="7" t="s">
        <v>35</v>
      </c>
      <c r="E53" s="7" t="s">
        <v>50</v>
      </c>
      <c r="F53" s="7" t="n">
        <v>8</v>
      </c>
      <c r="G53" s="9" t="n">
        <v>900</v>
      </c>
      <c r="H53" s="9" t="n">
        <f aca="false">F53*G53</f>
        <v>7200</v>
      </c>
      <c r="I53" s="7" t="n">
        <f aca="false">MONTH(B53)</f>
        <v>6</v>
      </c>
    </row>
    <row r="54" customFormat="false" ht="15" hidden="false" customHeight="false" outlineLevel="0" collapsed="false">
      <c r="A54" s="7" t="s">
        <v>102</v>
      </c>
      <c r="B54" s="8" t="n">
        <v>45833</v>
      </c>
      <c r="C54" s="7" t="s">
        <v>47</v>
      </c>
      <c r="D54" s="7" t="s">
        <v>35</v>
      </c>
      <c r="E54" s="7" t="s">
        <v>36</v>
      </c>
      <c r="F54" s="7" t="n">
        <v>1</v>
      </c>
      <c r="G54" s="9" t="n">
        <v>400</v>
      </c>
      <c r="H54" s="9" t="n">
        <f aca="false">F54*G54</f>
        <v>400</v>
      </c>
      <c r="I54" s="7" t="n">
        <f aca="false">MONTH(B54)</f>
        <v>6</v>
      </c>
    </row>
    <row r="55" customFormat="false" ht="15" hidden="false" customHeight="false" outlineLevel="0" collapsed="false">
      <c r="A55" s="7" t="s">
        <v>103</v>
      </c>
      <c r="B55" s="8" t="n">
        <v>45833</v>
      </c>
      <c r="C55" s="7" t="s">
        <v>47</v>
      </c>
      <c r="D55" s="7" t="s">
        <v>31</v>
      </c>
      <c r="E55" s="7" t="s">
        <v>32</v>
      </c>
      <c r="F55" s="7" t="n">
        <v>7</v>
      </c>
      <c r="G55" s="9" t="n">
        <v>190</v>
      </c>
      <c r="H55" s="9" t="n">
        <f aca="false">F55*G55</f>
        <v>1330</v>
      </c>
      <c r="I55" s="7" t="n">
        <f aca="false">MONTH(B55)</f>
        <v>6</v>
      </c>
    </row>
    <row r="56" customFormat="false" ht="15" hidden="false" customHeight="false" outlineLevel="0" collapsed="false">
      <c r="A56" s="7" t="s">
        <v>104</v>
      </c>
      <c r="B56" s="8" t="n">
        <v>45835</v>
      </c>
      <c r="C56" s="7" t="s">
        <v>30</v>
      </c>
      <c r="D56" s="7" t="s">
        <v>44</v>
      </c>
      <c r="E56" s="7" t="s">
        <v>71</v>
      </c>
      <c r="F56" s="7" t="n">
        <v>2</v>
      </c>
      <c r="G56" s="9" t="n">
        <v>60</v>
      </c>
      <c r="H56" s="9" t="n">
        <f aca="false">F56*G56</f>
        <v>120</v>
      </c>
      <c r="I56" s="7" t="n">
        <f aca="false">MONTH(B56)</f>
        <v>6</v>
      </c>
    </row>
    <row r="57" customFormat="false" ht="15" hidden="false" customHeight="false" outlineLevel="0" collapsed="false">
      <c r="A57" s="7" t="s">
        <v>105</v>
      </c>
      <c r="B57" s="8" t="n">
        <v>45843</v>
      </c>
      <c r="C57" s="7" t="s">
        <v>47</v>
      </c>
      <c r="D57" s="7" t="s">
        <v>35</v>
      </c>
      <c r="E57" s="7" t="s">
        <v>40</v>
      </c>
      <c r="F57" s="7" t="n">
        <v>4</v>
      </c>
      <c r="G57" s="9" t="n">
        <v>250</v>
      </c>
      <c r="H57" s="9" t="n">
        <f aca="false">F57*G57</f>
        <v>1000</v>
      </c>
      <c r="I57" s="7" t="n">
        <f aca="false">MONTH(B57)</f>
        <v>7</v>
      </c>
    </row>
    <row r="58" customFormat="false" ht="15" hidden="false" customHeight="false" outlineLevel="0" collapsed="false">
      <c r="A58" s="7" t="s">
        <v>106</v>
      </c>
      <c r="B58" s="8" t="n">
        <v>45844</v>
      </c>
      <c r="C58" s="7" t="s">
        <v>39</v>
      </c>
      <c r="D58" s="7" t="s">
        <v>35</v>
      </c>
      <c r="E58" s="7" t="s">
        <v>50</v>
      </c>
      <c r="F58" s="7" t="n">
        <v>4</v>
      </c>
      <c r="G58" s="9" t="n">
        <v>900</v>
      </c>
      <c r="H58" s="9" t="n">
        <f aca="false">F58*G58</f>
        <v>3600</v>
      </c>
      <c r="I58" s="7" t="n">
        <f aca="false">MONTH(B58)</f>
        <v>7</v>
      </c>
    </row>
    <row r="59" customFormat="false" ht="15" hidden="false" customHeight="false" outlineLevel="0" collapsed="false">
      <c r="A59" s="7" t="s">
        <v>107</v>
      </c>
      <c r="B59" s="8" t="n">
        <v>45845</v>
      </c>
      <c r="C59" s="7" t="s">
        <v>43</v>
      </c>
      <c r="D59" s="7" t="s">
        <v>44</v>
      </c>
      <c r="E59" s="7" t="s">
        <v>45</v>
      </c>
      <c r="F59" s="7" t="n">
        <v>8</v>
      </c>
      <c r="G59" s="9" t="n">
        <v>120</v>
      </c>
      <c r="H59" s="9" t="n">
        <f aca="false">F59*G59</f>
        <v>960</v>
      </c>
      <c r="I59" s="7" t="n">
        <f aca="false">MONTH(B59)</f>
        <v>7</v>
      </c>
    </row>
    <row r="60" customFormat="false" ht="15" hidden="false" customHeight="false" outlineLevel="0" collapsed="false">
      <c r="A60" s="7" t="s">
        <v>108</v>
      </c>
      <c r="B60" s="8" t="n">
        <v>45855</v>
      </c>
      <c r="C60" s="7" t="s">
        <v>43</v>
      </c>
      <c r="D60" s="7" t="s">
        <v>35</v>
      </c>
      <c r="E60" s="7" t="s">
        <v>40</v>
      </c>
      <c r="F60" s="7" t="n">
        <v>6</v>
      </c>
      <c r="G60" s="9" t="n">
        <v>250</v>
      </c>
      <c r="H60" s="9" t="n">
        <f aca="false">F60*G60</f>
        <v>1500</v>
      </c>
      <c r="I60" s="7" t="n">
        <f aca="false">MONTH(B60)</f>
        <v>7</v>
      </c>
    </row>
    <row r="61" customFormat="false" ht="15" hidden="false" customHeight="false" outlineLevel="0" collapsed="false">
      <c r="A61" s="7" t="s">
        <v>109</v>
      </c>
      <c r="B61" s="8" t="n">
        <v>45856</v>
      </c>
      <c r="C61" s="7" t="s">
        <v>47</v>
      </c>
      <c r="D61" s="7" t="s">
        <v>31</v>
      </c>
      <c r="E61" s="7" t="s">
        <v>67</v>
      </c>
      <c r="F61" s="7" t="n">
        <v>7</v>
      </c>
      <c r="G61" s="9" t="n">
        <v>220</v>
      </c>
      <c r="H61" s="9" t="n">
        <f aca="false">F61*G61</f>
        <v>1540</v>
      </c>
      <c r="I61" s="7" t="n">
        <f aca="false">MONTH(B61)</f>
        <v>7</v>
      </c>
    </row>
    <row r="62" customFormat="false" ht="15" hidden="false" customHeight="false" outlineLevel="0" collapsed="false">
      <c r="A62" s="7" t="s">
        <v>110</v>
      </c>
      <c r="B62" s="8" t="n">
        <v>45858</v>
      </c>
      <c r="C62" s="7" t="s">
        <v>47</v>
      </c>
      <c r="D62" s="7" t="s">
        <v>59</v>
      </c>
      <c r="E62" s="7" t="s">
        <v>111</v>
      </c>
      <c r="F62" s="7" t="n">
        <v>8</v>
      </c>
      <c r="G62" s="9" t="n">
        <v>450</v>
      </c>
      <c r="H62" s="9" t="n">
        <f aca="false">F62*G62</f>
        <v>3600</v>
      </c>
      <c r="I62" s="7" t="n">
        <f aca="false">MONTH(B62)</f>
        <v>7</v>
      </c>
    </row>
    <row r="63" customFormat="false" ht="15" hidden="false" customHeight="false" outlineLevel="0" collapsed="false">
      <c r="A63" s="7" t="s">
        <v>112</v>
      </c>
      <c r="B63" s="8" t="n">
        <v>45859</v>
      </c>
      <c r="C63" s="7" t="s">
        <v>39</v>
      </c>
      <c r="D63" s="7" t="s">
        <v>44</v>
      </c>
      <c r="E63" s="7" t="s">
        <v>45</v>
      </c>
      <c r="F63" s="7" t="n">
        <v>4</v>
      </c>
      <c r="G63" s="9" t="n">
        <v>120</v>
      </c>
      <c r="H63" s="9" t="n">
        <f aca="false">F63*G63</f>
        <v>480</v>
      </c>
      <c r="I63" s="7" t="n">
        <f aca="false">MONTH(B63)</f>
        <v>7</v>
      </c>
    </row>
    <row r="64" customFormat="false" ht="15" hidden="false" customHeight="false" outlineLevel="0" collapsed="false">
      <c r="A64" s="7" t="s">
        <v>113</v>
      </c>
      <c r="B64" s="8" t="n">
        <v>45862</v>
      </c>
      <c r="C64" s="7" t="s">
        <v>43</v>
      </c>
      <c r="D64" s="7" t="s">
        <v>59</v>
      </c>
      <c r="E64" s="7" t="s">
        <v>111</v>
      </c>
      <c r="F64" s="7" t="n">
        <v>7</v>
      </c>
      <c r="G64" s="9" t="n">
        <v>450</v>
      </c>
      <c r="H64" s="9" t="n">
        <f aca="false">F64*G64</f>
        <v>3150</v>
      </c>
      <c r="I64" s="7" t="n">
        <f aca="false">MONTH(B64)</f>
        <v>7</v>
      </c>
    </row>
    <row r="65" customFormat="false" ht="15" hidden="false" customHeight="false" outlineLevel="0" collapsed="false">
      <c r="A65" s="7" t="s">
        <v>114</v>
      </c>
      <c r="B65" s="8" t="n">
        <v>45863</v>
      </c>
      <c r="C65" s="7" t="s">
        <v>43</v>
      </c>
      <c r="D65" s="7" t="s">
        <v>35</v>
      </c>
      <c r="E65" s="7" t="s">
        <v>40</v>
      </c>
      <c r="F65" s="7" t="n">
        <v>5</v>
      </c>
      <c r="G65" s="9" t="n">
        <v>250</v>
      </c>
      <c r="H65" s="9" t="n">
        <f aca="false">F65*G65</f>
        <v>1250</v>
      </c>
      <c r="I65" s="7" t="n">
        <f aca="false">MONTH(B65)</f>
        <v>7</v>
      </c>
    </row>
    <row r="66" customFormat="false" ht="15" hidden="false" customHeight="false" outlineLevel="0" collapsed="false">
      <c r="A66" s="7" t="s">
        <v>115</v>
      </c>
      <c r="B66" s="8" t="n">
        <v>45863</v>
      </c>
      <c r="C66" s="7" t="s">
        <v>47</v>
      </c>
      <c r="D66" s="7" t="s">
        <v>44</v>
      </c>
      <c r="E66" s="7" t="s">
        <v>65</v>
      </c>
      <c r="F66" s="7" t="n">
        <v>3</v>
      </c>
      <c r="G66" s="9" t="n">
        <v>350</v>
      </c>
      <c r="H66" s="9" t="n">
        <f aca="false">F66*G66</f>
        <v>1050</v>
      </c>
      <c r="I66" s="7" t="n">
        <f aca="false">MONTH(B66)</f>
        <v>7</v>
      </c>
    </row>
    <row r="67" customFormat="false" ht="15" hidden="false" customHeight="false" outlineLevel="0" collapsed="false">
      <c r="A67" s="7" t="s">
        <v>116</v>
      </c>
      <c r="B67" s="8" t="n">
        <v>45872</v>
      </c>
      <c r="C67" s="7" t="s">
        <v>30</v>
      </c>
      <c r="D67" s="7" t="s">
        <v>31</v>
      </c>
      <c r="E67" s="7" t="s">
        <v>32</v>
      </c>
      <c r="F67" s="7" t="n">
        <v>5</v>
      </c>
      <c r="G67" s="9" t="n">
        <v>190</v>
      </c>
      <c r="H67" s="9" t="n">
        <f aca="false">F67*G67</f>
        <v>950</v>
      </c>
      <c r="I67" s="7" t="n">
        <f aca="false">MONTH(B67)</f>
        <v>8</v>
      </c>
    </row>
    <row r="68" customFormat="false" ht="15" hidden="false" customHeight="false" outlineLevel="0" collapsed="false">
      <c r="A68" s="7" t="s">
        <v>117</v>
      </c>
      <c r="B68" s="8" t="n">
        <v>45873</v>
      </c>
      <c r="C68" s="7" t="s">
        <v>39</v>
      </c>
      <c r="D68" s="7" t="s">
        <v>31</v>
      </c>
      <c r="E68" s="7" t="s">
        <v>67</v>
      </c>
      <c r="F68" s="7" t="n">
        <v>2</v>
      </c>
      <c r="G68" s="9" t="n">
        <v>220</v>
      </c>
      <c r="H68" s="9" t="n">
        <f aca="false">F68*G68</f>
        <v>440</v>
      </c>
      <c r="I68" s="7" t="n">
        <f aca="false">MONTH(B68)</f>
        <v>8</v>
      </c>
    </row>
    <row r="69" customFormat="false" ht="15" hidden="false" customHeight="false" outlineLevel="0" collapsed="false">
      <c r="A69" s="7" t="s">
        <v>118</v>
      </c>
      <c r="B69" s="8" t="n">
        <v>45886</v>
      </c>
      <c r="C69" s="7" t="s">
        <v>30</v>
      </c>
      <c r="D69" s="7" t="s">
        <v>35</v>
      </c>
      <c r="E69" s="7" t="s">
        <v>36</v>
      </c>
      <c r="F69" s="7" t="n">
        <v>4</v>
      </c>
      <c r="G69" s="9" t="n">
        <v>400</v>
      </c>
      <c r="H69" s="9" t="n">
        <f aca="false">F69*G69</f>
        <v>1600</v>
      </c>
      <c r="I69" s="7" t="n">
        <f aca="false">MONTH(B69)</f>
        <v>8</v>
      </c>
    </row>
    <row r="70" customFormat="false" ht="15" hidden="false" customHeight="false" outlineLevel="0" collapsed="false">
      <c r="A70" s="7" t="s">
        <v>119</v>
      </c>
      <c r="B70" s="8" t="n">
        <v>45886</v>
      </c>
      <c r="C70" s="7" t="s">
        <v>39</v>
      </c>
      <c r="D70" s="7" t="s">
        <v>31</v>
      </c>
      <c r="E70" s="7" t="s">
        <v>67</v>
      </c>
      <c r="F70" s="7" t="n">
        <v>1</v>
      </c>
      <c r="G70" s="9" t="n">
        <v>220</v>
      </c>
      <c r="H70" s="9" t="n">
        <f aca="false">F70*G70</f>
        <v>220</v>
      </c>
      <c r="I70" s="7" t="n">
        <f aca="false">MONTH(B70)</f>
        <v>8</v>
      </c>
    </row>
    <row r="71" customFormat="false" ht="15" hidden="false" customHeight="false" outlineLevel="0" collapsed="false">
      <c r="A71" s="7" t="s">
        <v>120</v>
      </c>
      <c r="B71" s="8" t="n">
        <v>45887</v>
      </c>
      <c r="C71" s="7" t="s">
        <v>30</v>
      </c>
      <c r="D71" s="7" t="s">
        <v>35</v>
      </c>
      <c r="E71" s="7" t="s">
        <v>50</v>
      </c>
      <c r="F71" s="7" t="n">
        <v>2</v>
      </c>
      <c r="G71" s="9" t="n">
        <v>900</v>
      </c>
      <c r="H71" s="9" t="n">
        <f aca="false">F71*G71</f>
        <v>1800</v>
      </c>
      <c r="I71" s="7" t="n">
        <f aca="false">MONTH(B71)</f>
        <v>8</v>
      </c>
    </row>
    <row r="72" customFormat="false" ht="15" hidden="false" customHeight="false" outlineLevel="0" collapsed="false">
      <c r="A72" s="7" t="s">
        <v>121</v>
      </c>
      <c r="B72" s="8" t="n">
        <v>45890</v>
      </c>
      <c r="C72" s="7" t="s">
        <v>43</v>
      </c>
      <c r="D72" s="7" t="s">
        <v>44</v>
      </c>
      <c r="E72" s="7" t="s">
        <v>45</v>
      </c>
      <c r="F72" s="7" t="n">
        <v>5</v>
      </c>
      <c r="G72" s="9" t="n">
        <v>120</v>
      </c>
      <c r="H72" s="9" t="n">
        <f aca="false">F72*G72</f>
        <v>600</v>
      </c>
      <c r="I72" s="7" t="n">
        <f aca="false">MONTH(B72)</f>
        <v>8</v>
      </c>
    </row>
    <row r="73" customFormat="false" ht="15" hidden="false" customHeight="false" outlineLevel="0" collapsed="false">
      <c r="A73" s="7" t="s">
        <v>122</v>
      </c>
      <c r="B73" s="8" t="n">
        <v>45896</v>
      </c>
      <c r="C73" s="7" t="s">
        <v>47</v>
      </c>
      <c r="D73" s="7" t="s">
        <v>59</v>
      </c>
      <c r="E73" s="7" t="s">
        <v>111</v>
      </c>
      <c r="F73" s="7" t="n">
        <v>5</v>
      </c>
      <c r="G73" s="9" t="n">
        <v>450</v>
      </c>
      <c r="H73" s="9" t="n">
        <f aca="false">F73*G73</f>
        <v>2250</v>
      </c>
      <c r="I73" s="7" t="n">
        <f aca="false">MONTH(B73)</f>
        <v>8</v>
      </c>
    </row>
    <row r="74" customFormat="false" ht="15" hidden="false" customHeight="false" outlineLevel="0" collapsed="false">
      <c r="A74" s="7" t="s">
        <v>123</v>
      </c>
      <c r="B74" s="8" t="n">
        <v>45900</v>
      </c>
      <c r="C74" s="7" t="s">
        <v>30</v>
      </c>
      <c r="D74" s="7" t="s">
        <v>44</v>
      </c>
      <c r="E74" s="7" t="s">
        <v>65</v>
      </c>
      <c r="F74" s="7" t="n">
        <v>6</v>
      </c>
      <c r="G74" s="9" t="n">
        <v>350</v>
      </c>
      <c r="H74" s="9" t="n">
        <f aca="false">F74*G74</f>
        <v>2100</v>
      </c>
      <c r="I74" s="7" t="n">
        <f aca="false">MONTH(B74)</f>
        <v>8</v>
      </c>
    </row>
    <row r="75" customFormat="false" ht="15" hidden="false" customHeight="false" outlineLevel="0" collapsed="false">
      <c r="A75" s="7" t="s">
        <v>124</v>
      </c>
      <c r="B75" s="8" t="n">
        <v>45903</v>
      </c>
      <c r="C75" s="7" t="s">
        <v>47</v>
      </c>
      <c r="D75" s="7" t="s">
        <v>35</v>
      </c>
      <c r="E75" s="7" t="s">
        <v>40</v>
      </c>
      <c r="F75" s="7" t="n">
        <v>2</v>
      </c>
      <c r="G75" s="9" t="n">
        <v>250</v>
      </c>
      <c r="H75" s="9" t="n">
        <f aca="false">F75*G75</f>
        <v>500</v>
      </c>
      <c r="I75" s="7" t="n">
        <f aca="false">MONTH(B75)</f>
        <v>9</v>
      </c>
    </row>
    <row r="76" customFormat="false" ht="15" hidden="false" customHeight="false" outlineLevel="0" collapsed="false">
      <c r="A76" s="7" t="s">
        <v>125</v>
      </c>
      <c r="B76" s="8" t="n">
        <v>45905</v>
      </c>
      <c r="C76" s="7" t="s">
        <v>47</v>
      </c>
      <c r="D76" s="7" t="s">
        <v>35</v>
      </c>
      <c r="E76" s="7" t="s">
        <v>40</v>
      </c>
      <c r="F76" s="7" t="n">
        <v>2</v>
      </c>
      <c r="G76" s="9" t="n">
        <v>250</v>
      </c>
      <c r="H76" s="9" t="n">
        <f aca="false">F76*G76</f>
        <v>500</v>
      </c>
      <c r="I76" s="7" t="n">
        <f aca="false">MONTH(B76)</f>
        <v>9</v>
      </c>
    </row>
    <row r="77" customFormat="false" ht="15" hidden="false" customHeight="false" outlineLevel="0" collapsed="false">
      <c r="A77" s="7" t="s">
        <v>126</v>
      </c>
      <c r="B77" s="8" t="n">
        <v>45906</v>
      </c>
      <c r="C77" s="7" t="s">
        <v>30</v>
      </c>
      <c r="D77" s="7" t="s">
        <v>35</v>
      </c>
      <c r="E77" s="7" t="s">
        <v>50</v>
      </c>
      <c r="F77" s="7" t="n">
        <v>4</v>
      </c>
      <c r="G77" s="9" t="n">
        <v>900</v>
      </c>
      <c r="H77" s="9" t="n">
        <f aca="false">F77*G77</f>
        <v>3600</v>
      </c>
      <c r="I77" s="7" t="n">
        <f aca="false">MONTH(B77)</f>
        <v>9</v>
      </c>
    </row>
    <row r="78" customFormat="false" ht="15" hidden="false" customHeight="false" outlineLevel="0" collapsed="false">
      <c r="A78" s="7" t="s">
        <v>127</v>
      </c>
      <c r="B78" s="8" t="n">
        <v>45908</v>
      </c>
      <c r="C78" s="7" t="s">
        <v>30</v>
      </c>
      <c r="D78" s="7" t="s">
        <v>59</v>
      </c>
      <c r="E78" s="7" t="s">
        <v>111</v>
      </c>
      <c r="F78" s="7" t="n">
        <v>6</v>
      </c>
      <c r="G78" s="9" t="n">
        <v>450</v>
      </c>
      <c r="H78" s="9" t="n">
        <f aca="false">F78*G78</f>
        <v>2700</v>
      </c>
      <c r="I78" s="7" t="n">
        <f aca="false">MONTH(B78)</f>
        <v>9</v>
      </c>
    </row>
    <row r="79" customFormat="false" ht="15" hidden="false" customHeight="false" outlineLevel="0" collapsed="false">
      <c r="A79" s="7" t="s">
        <v>128</v>
      </c>
      <c r="B79" s="8" t="n">
        <v>45908</v>
      </c>
      <c r="C79" s="7" t="s">
        <v>43</v>
      </c>
      <c r="D79" s="7" t="s">
        <v>35</v>
      </c>
      <c r="E79" s="7" t="s">
        <v>40</v>
      </c>
      <c r="F79" s="7" t="n">
        <v>2</v>
      </c>
      <c r="G79" s="9" t="n">
        <v>250</v>
      </c>
      <c r="H79" s="9" t="n">
        <f aca="false">F79*G79</f>
        <v>500</v>
      </c>
      <c r="I79" s="7" t="n">
        <f aca="false">MONTH(B79)</f>
        <v>9</v>
      </c>
    </row>
    <row r="80" customFormat="false" ht="15" hidden="false" customHeight="false" outlineLevel="0" collapsed="false">
      <c r="A80" s="7" t="s">
        <v>129</v>
      </c>
      <c r="B80" s="8" t="n">
        <v>45911</v>
      </c>
      <c r="C80" s="7" t="s">
        <v>47</v>
      </c>
      <c r="D80" s="7" t="s">
        <v>31</v>
      </c>
      <c r="E80" s="7" t="s">
        <v>67</v>
      </c>
      <c r="F80" s="7" t="n">
        <v>1</v>
      </c>
      <c r="G80" s="9" t="n">
        <v>220</v>
      </c>
      <c r="H80" s="9" t="n">
        <f aca="false">F80*G80</f>
        <v>220</v>
      </c>
      <c r="I80" s="7" t="n">
        <f aca="false">MONTH(B80)</f>
        <v>9</v>
      </c>
    </row>
    <row r="81" customFormat="false" ht="15" hidden="false" customHeight="false" outlineLevel="0" collapsed="false">
      <c r="A81" s="7" t="s">
        <v>130</v>
      </c>
      <c r="B81" s="8" t="n">
        <v>45912</v>
      </c>
      <c r="C81" s="7" t="s">
        <v>43</v>
      </c>
      <c r="D81" s="7" t="s">
        <v>59</v>
      </c>
      <c r="E81" s="7" t="s">
        <v>63</v>
      </c>
      <c r="F81" s="7" t="n">
        <v>8</v>
      </c>
      <c r="G81" s="9" t="n">
        <v>1100</v>
      </c>
      <c r="H81" s="9" t="n">
        <f aca="false">F81*G81</f>
        <v>8800</v>
      </c>
      <c r="I81" s="7" t="n">
        <f aca="false">MONTH(B81)</f>
        <v>9</v>
      </c>
    </row>
    <row r="82" customFormat="false" ht="15" hidden="false" customHeight="false" outlineLevel="0" collapsed="false">
      <c r="A82" s="7" t="s">
        <v>131</v>
      </c>
      <c r="B82" s="8" t="n">
        <v>45915</v>
      </c>
      <c r="C82" s="7" t="s">
        <v>30</v>
      </c>
      <c r="D82" s="7" t="s">
        <v>44</v>
      </c>
      <c r="E82" s="7" t="s">
        <v>65</v>
      </c>
      <c r="F82" s="7" t="n">
        <v>8</v>
      </c>
      <c r="G82" s="9" t="n">
        <v>350</v>
      </c>
      <c r="H82" s="9" t="n">
        <f aca="false">F82*G82</f>
        <v>2800</v>
      </c>
      <c r="I82" s="7" t="n">
        <f aca="false">MONTH(B82)</f>
        <v>9</v>
      </c>
    </row>
    <row r="83" customFormat="false" ht="15" hidden="false" customHeight="false" outlineLevel="0" collapsed="false">
      <c r="A83" s="7" t="s">
        <v>132</v>
      </c>
      <c r="B83" s="8" t="n">
        <v>45917</v>
      </c>
      <c r="C83" s="7" t="s">
        <v>47</v>
      </c>
      <c r="D83" s="7" t="s">
        <v>35</v>
      </c>
      <c r="E83" s="7" t="s">
        <v>50</v>
      </c>
      <c r="F83" s="7" t="n">
        <v>4</v>
      </c>
      <c r="G83" s="9" t="n">
        <v>900</v>
      </c>
      <c r="H83" s="9" t="n">
        <f aca="false">F83*G83</f>
        <v>3600</v>
      </c>
      <c r="I83" s="7" t="n">
        <f aca="false">MONTH(B83)</f>
        <v>9</v>
      </c>
    </row>
    <row r="84" customFormat="false" ht="15" hidden="false" customHeight="false" outlineLevel="0" collapsed="false">
      <c r="A84" s="7" t="s">
        <v>133</v>
      </c>
      <c r="B84" s="8" t="n">
        <v>45918</v>
      </c>
      <c r="C84" s="7" t="s">
        <v>47</v>
      </c>
      <c r="D84" s="7" t="s">
        <v>59</v>
      </c>
      <c r="E84" s="7" t="s">
        <v>60</v>
      </c>
      <c r="F84" s="7" t="n">
        <v>5</v>
      </c>
      <c r="G84" s="9" t="n">
        <v>650</v>
      </c>
      <c r="H84" s="9" t="n">
        <f aca="false">F84*G84</f>
        <v>3250</v>
      </c>
      <c r="I84" s="7" t="n">
        <f aca="false">MONTH(B84)</f>
        <v>9</v>
      </c>
    </row>
    <row r="85" customFormat="false" ht="15" hidden="false" customHeight="false" outlineLevel="0" collapsed="false">
      <c r="A85" s="7" t="s">
        <v>134</v>
      </c>
      <c r="B85" s="8" t="n">
        <v>45920</v>
      </c>
      <c r="C85" s="7" t="s">
        <v>39</v>
      </c>
      <c r="D85" s="7" t="s">
        <v>59</v>
      </c>
      <c r="E85" s="7" t="s">
        <v>111</v>
      </c>
      <c r="F85" s="7" t="n">
        <v>3</v>
      </c>
      <c r="G85" s="9" t="n">
        <v>450</v>
      </c>
      <c r="H85" s="9" t="n">
        <f aca="false">F85*G85</f>
        <v>1350</v>
      </c>
      <c r="I85" s="7" t="n">
        <f aca="false">MONTH(B85)</f>
        <v>9</v>
      </c>
    </row>
    <row r="86" customFormat="false" ht="15" hidden="false" customHeight="false" outlineLevel="0" collapsed="false">
      <c r="A86" s="7" t="s">
        <v>135</v>
      </c>
      <c r="B86" s="8" t="n">
        <v>45920</v>
      </c>
      <c r="C86" s="7" t="s">
        <v>47</v>
      </c>
      <c r="D86" s="7" t="s">
        <v>44</v>
      </c>
      <c r="E86" s="7" t="s">
        <v>71</v>
      </c>
      <c r="F86" s="7" t="n">
        <v>2</v>
      </c>
      <c r="G86" s="9" t="n">
        <v>60</v>
      </c>
      <c r="H86" s="9" t="n">
        <f aca="false">F86*G86</f>
        <v>120</v>
      </c>
      <c r="I86" s="7" t="n">
        <f aca="false">MONTH(B86)</f>
        <v>9</v>
      </c>
    </row>
    <row r="87" customFormat="false" ht="15" hidden="false" customHeight="false" outlineLevel="0" collapsed="false">
      <c r="A87" s="7" t="s">
        <v>136</v>
      </c>
      <c r="B87" s="8" t="n">
        <v>45920</v>
      </c>
      <c r="C87" s="7" t="s">
        <v>47</v>
      </c>
      <c r="D87" s="7" t="s">
        <v>59</v>
      </c>
      <c r="E87" s="7" t="s">
        <v>60</v>
      </c>
      <c r="F87" s="7" t="n">
        <v>1</v>
      </c>
      <c r="G87" s="9" t="n">
        <v>650</v>
      </c>
      <c r="H87" s="9" t="n">
        <f aca="false">F87*G87</f>
        <v>650</v>
      </c>
      <c r="I87" s="7" t="n">
        <f aca="false">MONTH(B87)</f>
        <v>9</v>
      </c>
    </row>
    <row r="88" customFormat="false" ht="15" hidden="false" customHeight="false" outlineLevel="0" collapsed="false">
      <c r="A88" s="7" t="s">
        <v>137</v>
      </c>
      <c r="B88" s="8" t="n">
        <v>45921</v>
      </c>
      <c r="C88" s="7" t="s">
        <v>43</v>
      </c>
      <c r="D88" s="7" t="s">
        <v>59</v>
      </c>
      <c r="E88" s="7" t="s">
        <v>111</v>
      </c>
      <c r="F88" s="7" t="n">
        <v>2</v>
      </c>
      <c r="G88" s="9" t="n">
        <v>450</v>
      </c>
      <c r="H88" s="9" t="n">
        <f aca="false">F88*G88</f>
        <v>900</v>
      </c>
      <c r="I88" s="7" t="n">
        <f aca="false">MONTH(B88)</f>
        <v>9</v>
      </c>
    </row>
    <row r="89" customFormat="false" ht="15" hidden="false" customHeight="false" outlineLevel="0" collapsed="false">
      <c r="A89" s="7" t="s">
        <v>138</v>
      </c>
      <c r="B89" s="8" t="n">
        <v>45927</v>
      </c>
      <c r="C89" s="7" t="s">
        <v>47</v>
      </c>
      <c r="D89" s="7" t="s">
        <v>31</v>
      </c>
      <c r="E89" s="7" t="s">
        <v>67</v>
      </c>
      <c r="F89" s="7" t="n">
        <v>4</v>
      </c>
      <c r="G89" s="9" t="n">
        <v>220</v>
      </c>
      <c r="H89" s="9" t="n">
        <f aca="false">F89*G89</f>
        <v>880</v>
      </c>
      <c r="I89" s="7" t="n">
        <f aca="false">MONTH(B89)</f>
        <v>9</v>
      </c>
    </row>
    <row r="90" customFormat="false" ht="15" hidden="false" customHeight="false" outlineLevel="0" collapsed="false">
      <c r="A90" s="7" t="s">
        <v>139</v>
      </c>
      <c r="B90" s="8" t="n">
        <v>45930</v>
      </c>
      <c r="C90" s="7" t="s">
        <v>30</v>
      </c>
      <c r="D90" s="7" t="s">
        <v>31</v>
      </c>
      <c r="E90" s="7" t="s">
        <v>32</v>
      </c>
      <c r="F90" s="7" t="n">
        <v>8</v>
      </c>
      <c r="G90" s="9" t="n">
        <v>190</v>
      </c>
      <c r="H90" s="9" t="n">
        <f aca="false">F90*G90</f>
        <v>1520</v>
      </c>
      <c r="I90" s="7" t="n">
        <f aca="false">MONTH(B90)</f>
        <v>9</v>
      </c>
    </row>
    <row r="91" customFormat="false" ht="15" hidden="false" customHeight="false" outlineLevel="0" collapsed="false">
      <c r="A91" s="7" t="s">
        <v>140</v>
      </c>
      <c r="B91" s="8" t="n">
        <v>45931</v>
      </c>
      <c r="C91" s="7" t="s">
        <v>39</v>
      </c>
      <c r="D91" s="7" t="s">
        <v>35</v>
      </c>
      <c r="E91" s="7" t="s">
        <v>50</v>
      </c>
      <c r="F91" s="7" t="n">
        <v>3</v>
      </c>
      <c r="G91" s="9" t="n">
        <v>900</v>
      </c>
      <c r="H91" s="9" t="n">
        <f aca="false">F91*G91</f>
        <v>2700</v>
      </c>
      <c r="I91" s="7" t="n">
        <f aca="false">MONTH(B91)</f>
        <v>10</v>
      </c>
    </row>
    <row r="92" customFormat="false" ht="15" hidden="false" customHeight="false" outlineLevel="0" collapsed="false">
      <c r="A92" s="7" t="s">
        <v>141</v>
      </c>
      <c r="B92" s="8" t="n">
        <v>45932</v>
      </c>
      <c r="C92" s="7" t="s">
        <v>30</v>
      </c>
      <c r="D92" s="7" t="s">
        <v>44</v>
      </c>
      <c r="E92" s="7" t="s">
        <v>45</v>
      </c>
      <c r="F92" s="7" t="n">
        <v>4</v>
      </c>
      <c r="G92" s="9" t="n">
        <v>120</v>
      </c>
      <c r="H92" s="9" t="n">
        <f aca="false">F92*G92</f>
        <v>480</v>
      </c>
      <c r="I92" s="7" t="n">
        <f aca="false">MONTH(B92)</f>
        <v>10</v>
      </c>
    </row>
    <row r="93" customFormat="false" ht="15" hidden="false" customHeight="false" outlineLevel="0" collapsed="false">
      <c r="A93" s="7" t="s">
        <v>142</v>
      </c>
      <c r="B93" s="8" t="n">
        <v>45938</v>
      </c>
      <c r="C93" s="7" t="s">
        <v>30</v>
      </c>
      <c r="D93" s="7" t="s">
        <v>31</v>
      </c>
      <c r="E93" s="7" t="s">
        <v>48</v>
      </c>
      <c r="F93" s="7" t="n">
        <v>2</v>
      </c>
      <c r="G93" s="9" t="n">
        <v>280</v>
      </c>
      <c r="H93" s="9" t="n">
        <f aca="false">F93*G93</f>
        <v>560</v>
      </c>
      <c r="I93" s="7" t="n">
        <f aca="false">MONTH(B93)</f>
        <v>10</v>
      </c>
    </row>
    <row r="94" customFormat="false" ht="15" hidden="false" customHeight="false" outlineLevel="0" collapsed="false">
      <c r="A94" s="7" t="s">
        <v>143</v>
      </c>
      <c r="B94" s="8" t="n">
        <v>45943</v>
      </c>
      <c r="C94" s="7" t="s">
        <v>30</v>
      </c>
      <c r="D94" s="7" t="s">
        <v>44</v>
      </c>
      <c r="E94" s="7" t="s">
        <v>65</v>
      </c>
      <c r="F94" s="7" t="n">
        <v>4</v>
      </c>
      <c r="G94" s="9" t="n">
        <v>350</v>
      </c>
      <c r="H94" s="9" t="n">
        <f aca="false">F94*G94</f>
        <v>1400</v>
      </c>
      <c r="I94" s="7" t="n">
        <f aca="false">MONTH(B94)</f>
        <v>10</v>
      </c>
    </row>
    <row r="95" customFormat="false" ht="15" hidden="false" customHeight="false" outlineLevel="0" collapsed="false">
      <c r="A95" s="7" t="s">
        <v>144</v>
      </c>
      <c r="B95" s="8" t="n">
        <v>45944</v>
      </c>
      <c r="C95" s="7" t="s">
        <v>47</v>
      </c>
      <c r="D95" s="7" t="s">
        <v>31</v>
      </c>
      <c r="E95" s="7" t="s">
        <v>48</v>
      </c>
      <c r="F95" s="7" t="n">
        <v>6</v>
      </c>
      <c r="G95" s="9" t="n">
        <v>280</v>
      </c>
      <c r="H95" s="9" t="n">
        <f aca="false">F95*G95</f>
        <v>1680</v>
      </c>
      <c r="I95" s="7" t="n">
        <f aca="false">MONTH(B95)</f>
        <v>10</v>
      </c>
    </row>
    <row r="96" customFormat="false" ht="15" hidden="false" customHeight="false" outlineLevel="0" collapsed="false">
      <c r="A96" s="7" t="s">
        <v>145</v>
      </c>
      <c r="B96" s="8" t="n">
        <v>45944</v>
      </c>
      <c r="C96" s="7" t="s">
        <v>47</v>
      </c>
      <c r="D96" s="7" t="s">
        <v>31</v>
      </c>
      <c r="E96" s="7" t="s">
        <v>67</v>
      </c>
      <c r="F96" s="7" t="n">
        <v>7</v>
      </c>
      <c r="G96" s="9" t="n">
        <v>220</v>
      </c>
      <c r="H96" s="9" t="n">
        <f aca="false">F96*G96</f>
        <v>1540</v>
      </c>
      <c r="I96" s="7" t="n">
        <f aca="false">MONTH(B96)</f>
        <v>10</v>
      </c>
    </row>
    <row r="97" customFormat="false" ht="15" hidden="false" customHeight="false" outlineLevel="0" collapsed="false">
      <c r="A97" s="7" t="s">
        <v>146</v>
      </c>
      <c r="B97" s="8" t="n">
        <v>45945</v>
      </c>
      <c r="C97" s="7" t="s">
        <v>43</v>
      </c>
      <c r="D97" s="7" t="s">
        <v>44</v>
      </c>
      <c r="E97" s="7" t="s">
        <v>71</v>
      </c>
      <c r="F97" s="7" t="n">
        <v>6</v>
      </c>
      <c r="G97" s="9" t="n">
        <v>60</v>
      </c>
      <c r="H97" s="9" t="n">
        <f aca="false">F97*G97</f>
        <v>360</v>
      </c>
      <c r="I97" s="7" t="n">
        <f aca="false">MONTH(B97)</f>
        <v>10</v>
      </c>
    </row>
    <row r="98" customFormat="false" ht="15" hidden="false" customHeight="false" outlineLevel="0" collapsed="false">
      <c r="A98" s="7" t="s">
        <v>147</v>
      </c>
      <c r="B98" s="8" t="n">
        <v>45947</v>
      </c>
      <c r="C98" s="7" t="s">
        <v>30</v>
      </c>
      <c r="D98" s="7" t="s">
        <v>44</v>
      </c>
      <c r="E98" s="7" t="s">
        <v>71</v>
      </c>
      <c r="F98" s="7" t="n">
        <v>7</v>
      </c>
      <c r="G98" s="9" t="n">
        <v>60</v>
      </c>
      <c r="H98" s="9" t="n">
        <f aca="false">F98*G98</f>
        <v>420</v>
      </c>
      <c r="I98" s="7" t="n">
        <f aca="false">MONTH(B98)</f>
        <v>10</v>
      </c>
    </row>
    <row r="99" customFormat="false" ht="15" hidden="false" customHeight="false" outlineLevel="0" collapsed="false">
      <c r="A99" s="7" t="s">
        <v>148</v>
      </c>
      <c r="B99" s="8" t="n">
        <v>45958</v>
      </c>
      <c r="C99" s="7" t="s">
        <v>43</v>
      </c>
      <c r="D99" s="7" t="s">
        <v>35</v>
      </c>
      <c r="E99" s="7" t="s">
        <v>36</v>
      </c>
      <c r="F99" s="7" t="n">
        <v>3</v>
      </c>
      <c r="G99" s="9" t="n">
        <v>400</v>
      </c>
      <c r="H99" s="9" t="n">
        <f aca="false">F99*G99</f>
        <v>1200</v>
      </c>
      <c r="I99" s="7" t="n">
        <f aca="false">MONTH(B99)</f>
        <v>10</v>
      </c>
    </row>
    <row r="100" customFormat="false" ht="15" hidden="false" customHeight="false" outlineLevel="0" collapsed="false">
      <c r="A100" s="7" t="s">
        <v>149</v>
      </c>
      <c r="B100" s="8" t="n">
        <v>45965</v>
      </c>
      <c r="C100" s="7" t="s">
        <v>39</v>
      </c>
      <c r="D100" s="7" t="s">
        <v>31</v>
      </c>
      <c r="E100" s="7" t="s">
        <v>67</v>
      </c>
      <c r="F100" s="7" t="n">
        <v>5</v>
      </c>
      <c r="G100" s="9" t="n">
        <v>220</v>
      </c>
      <c r="H100" s="9" t="n">
        <f aca="false">F100*G100</f>
        <v>1100</v>
      </c>
      <c r="I100" s="7" t="n">
        <f aca="false">MONTH(B100)</f>
        <v>11</v>
      </c>
    </row>
    <row r="101" customFormat="false" ht="15" hidden="false" customHeight="false" outlineLevel="0" collapsed="false">
      <c r="A101" s="7" t="s">
        <v>150</v>
      </c>
      <c r="B101" s="8" t="n">
        <v>45971</v>
      </c>
      <c r="C101" s="7" t="s">
        <v>43</v>
      </c>
      <c r="D101" s="7" t="s">
        <v>31</v>
      </c>
      <c r="E101" s="7" t="s">
        <v>48</v>
      </c>
      <c r="F101" s="7" t="n">
        <v>4</v>
      </c>
      <c r="G101" s="9" t="n">
        <v>280</v>
      </c>
      <c r="H101" s="9" t="n">
        <f aca="false">F101*G101</f>
        <v>1120</v>
      </c>
      <c r="I101" s="7" t="n">
        <f aca="false">MONTH(B101)</f>
        <v>11</v>
      </c>
    </row>
    <row r="102" customFormat="false" ht="15" hidden="false" customHeight="false" outlineLevel="0" collapsed="false">
      <c r="A102" s="7" t="s">
        <v>151</v>
      </c>
      <c r="B102" s="8" t="n">
        <v>45971</v>
      </c>
      <c r="C102" s="7" t="s">
        <v>39</v>
      </c>
      <c r="D102" s="7" t="s">
        <v>59</v>
      </c>
      <c r="E102" s="7" t="s">
        <v>60</v>
      </c>
      <c r="F102" s="7" t="n">
        <v>3</v>
      </c>
      <c r="G102" s="9" t="n">
        <v>650</v>
      </c>
      <c r="H102" s="9" t="n">
        <f aca="false">F102*G102</f>
        <v>1950</v>
      </c>
      <c r="I102" s="7" t="n">
        <f aca="false">MONTH(B102)</f>
        <v>11</v>
      </c>
    </row>
    <row r="103" customFormat="false" ht="15" hidden="false" customHeight="false" outlineLevel="0" collapsed="false">
      <c r="A103" s="7" t="s">
        <v>152</v>
      </c>
      <c r="B103" s="8" t="n">
        <v>45971</v>
      </c>
      <c r="C103" s="7" t="s">
        <v>39</v>
      </c>
      <c r="D103" s="7" t="s">
        <v>31</v>
      </c>
      <c r="E103" s="7" t="s">
        <v>32</v>
      </c>
      <c r="F103" s="7" t="n">
        <v>8</v>
      </c>
      <c r="G103" s="9" t="n">
        <v>190</v>
      </c>
      <c r="H103" s="9" t="n">
        <f aca="false">F103*G103</f>
        <v>1520</v>
      </c>
      <c r="I103" s="7" t="n">
        <f aca="false">MONTH(B103)</f>
        <v>11</v>
      </c>
    </row>
    <row r="104" customFormat="false" ht="15" hidden="false" customHeight="false" outlineLevel="0" collapsed="false">
      <c r="A104" s="7" t="s">
        <v>153</v>
      </c>
      <c r="B104" s="8" t="n">
        <v>45972</v>
      </c>
      <c r="C104" s="7" t="s">
        <v>47</v>
      </c>
      <c r="D104" s="7" t="s">
        <v>44</v>
      </c>
      <c r="E104" s="7" t="s">
        <v>71</v>
      </c>
      <c r="F104" s="7" t="n">
        <v>7</v>
      </c>
      <c r="G104" s="9" t="n">
        <v>60</v>
      </c>
      <c r="H104" s="9" t="n">
        <f aca="false">F104*G104</f>
        <v>420</v>
      </c>
      <c r="I104" s="7" t="n">
        <f aca="false">MONTH(B104)</f>
        <v>11</v>
      </c>
    </row>
    <row r="105" customFormat="false" ht="15" hidden="false" customHeight="false" outlineLevel="0" collapsed="false">
      <c r="A105" s="7" t="s">
        <v>154</v>
      </c>
      <c r="B105" s="8" t="n">
        <v>45976</v>
      </c>
      <c r="C105" s="7" t="s">
        <v>47</v>
      </c>
      <c r="D105" s="7" t="s">
        <v>31</v>
      </c>
      <c r="E105" s="7" t="s">
        <v>48</v>
      </c>
      <c r="F105" s="7" t="n">
        <v>2</v>
      </c>
      <c r="G105" s="9" t="n">
        <v>280</v>
      </c>
      <c r="H105" s="9" t="n">
        <f aca="false">F105*G105</f>
        <v>560</v>
      </c>
      <c r="I105" s="7" t="n">
        <f aca="false">MONTH(B105)</f>
        <v>11</v>
      </c>
    </row>
    <row r="106" customFormat="false" ht="15" hidden="false" customHeight="false" outlineLevel="0" collapsed="false">
      <c r="A106" s="7" t="s">
        <v>155</v>
      </c>
      <c r="B106" s="8" t="n">
        <v>45976</v>
      </c>
      <c r="C106" s="7" t="s">
        <v>43</v>
      </c>
      <c r="D106" s="7" t="s">
        <v>31</v>
      </c>
      <c r="E106" s="7" t="s">
        <v>48</v>
      </c>
      <c r="F106" s="7" t="n">
        <v>1</v>
      </c>
      <c r="G106" s="9" t="n">
        <v>280</v>
      </c>
      <c r="H106" s="9" t="n">
        <f aca="false">F106*G106</f>
        <v>280</v>
      </c>
      <c r="I106" s="7" t="n">
        <f aca="false">MONTH(B106)</f>
        <v>11</v>
      </c>
    </row>
    <row r="107" customFormat="false" ht="15" hidden="false" customHeight="false" outlineLevel="0" collapsed="false">
      <c r="A107" s="7" t="s">
        <v>156</v>
      </c>
      <c r="B107" s="8" t="n">
        <v>45978</v>
      </c>
      <c r="C107" s="7" t="s">
        <v>47</v>
      </c>
      <c r="D107" s="7" t="s">
        <v>35</v>
      </c>
      <c r="E107" s="7" t="s">
        <v>36</v>
      </c>
      <c r="F107" s="7" t="n">
        <v>1</v>
      </c>
      <c r="G107" s="9" t="n">
        <v>400</v>
      </c>
      <c r="H107" s="9" t="n">
        <f aca="false">F107*G107</f>
        <v>400</v>
      </c>
      <c r="I107" s="7" t="n">
        <f aca="false">MONTH(B107)</f>
        <v>11</v>
      </c>
    </row>
    <row r="108" customFormat="false" ht="15" hidden="false" customHeight="false" outlineLevel="0" collapsed="false">
      <c r="A108" s="7" t="s">
        <v>157</v>
      </c>
      <c r="B108" s="8" t="n">
        <v>45983</v>
      </c>
      <c r="C108" s="7" t="s">
        <v>43</v>
      </c>
      <c r="D108" s="7" t="s">
        <v>35</v>
      </c>
      <c r="E108" s="7" t="s">
        <v>40</v>
      </c>
      <c r="F108" s="7" t="n">
        <v>8</v>
      </c>
      <c r="G108" s="9" t="n">
        <v>250</v>
      </c>
      <c r="H108" s="9" t="n">
        <f aca="false">F108*G108</f>
        <v>2000</v>
      </c>
      <c r="I108" s="7" t="n">
        <f aca="false">MONTH(B108)</f>
        <v>11</v>
      </c>
    </row>
    <row r="109" customFormat="false" ht="15" hidden="false" customHeight="false" outlineLevel="0" collapsed="false">
      <c r="A109" s="7" t="s">
        <v>158</v>
      </c>
      <c r="B109" s="8" t="n">
        <v>45987</v>
      </c>
      <c r="C109" s="7" t="s">
        <v>39</v>
      </c>
      <c r="D109" s="7" t="s">
        <v>44</v>
      </c>
      <c r="E109" s="7" t="s">
        <v>65</v>
      </c>
      <c r="F109" s="7" t="n">
        <v>6</v>
      </c>
      <c r="G109" s="9" t="n">
        <v>350</v>
      </c>
      <c r="H109" s="9" t="n">
        <f aca="false">F109*G109</f>
        <v>2100</v>
      </c>
      <c r="I109" s="7" t="n">
        <f aca="false">MONTH(B109)</f>
        <v>11</v>
      </c>
    </row>
    <row r="110" customFormat="false" ht="15" hidden="false" customHeight="false" outlineLevel="0" collapsed="false">
      <c r="A110" s="7" t="s">
        <v>159</v>
      </c>
      <c r="B110" s="8" t="n">
        <v>45992</v>
      </c>
      <c r="C110" s="7" t="s">
        <v>30</v>
      </c>
      <c r="D110" s="7" t="s">
        <v>35</v>
      </c>
      <c r="E110" s="7" t="s">
        <v>50</v>
      </c>
      <c r="F110" s="7" t="n">
        <v>2</v>
      </c>
      <c r="G110" s="9" t="n">
        <v>900</v>
      </c>
      <c r="H110" s="9" t="n">
        <f aca="false">F110*G110</f>
        <v>1800</v>
      </c>
      <c r="I110" s="7" t="n">
        <f aca="false">MONTH(B110)</f>
        <v>12</v>
      </c>
    </row>
    <row r="111" customFormat="false" ht="15" hidden="false" customHeight="false" outlineLevel="0" collapsed="false">
      <c r="A111" s="7" t="s">
        <v>160</v>
      </c>
      <c r="B111" s="8" t="n">
        <v>45995</v>
      </c>
      <c r="C111" s="7" t="s">
        <v>43</v>
      </c>
      <c r="D111" s="7" t="s">
        <v>31</v>
      </c>
      <c r="E111" s="7" t="s">
        <v>48</v>
      </c>
      <c r="F111" s="7" t="n">
        <v>3</v>
      </c>
      <c r="G111" s="9" t="n">
        <v>280</v>
      </c>
      <c r="H111" s="9" t="n">
        <f aca="false">F111*G111</f>
        <v>840</v>
      </c>
      <c r="I111" s="7" t="n">
        <f aca="false">MONTH(B111)</f>
        <v>12</v>
      </c>
    </row>
    <row r="112" customFormat="false" ht="15" hidden="false" customHeight="false" outlineLevel="0" collapsed="false">
      <c r="A112" s="7" t="s">
        <v>161</v>
      </c>
      <c r="B112" s="8" t="n">
        <v>45995</v>
      </c>
      <c r="C112" s="7" t="s">
        <v>43</v>
      </c>
      <c r="D112" s="7" t="s">
        <v>59</v>
      </c>
      <c r="E112" s="7" t="s">
        <v>60</v>
      </c>
      <c r="F112" s="7" t="n">
        <v>7</v>
      </c>
      <c r="G112" s="9" t="n">
        <v>650</v>
      </c>
      <c r="H112" s="9" t="n">
        <f aca="false">F112*G112</f>
        <v>4550</v>
      </c>
      <c r="I112" s="7" t="n">
        <f aca="false">MONTH(B112)</f>
        <v>12</v>
      </c>
    </row>
    <row r="113" customFormat="false" ht="15" hidden="false" customHeight="false" outlineLevel="0" collapsed="false">
      <c r="A113" s="7" t="s">
        <v>162</v>
      </c>
      <c r="B113" s="8" t="n">
        <v>46000</v>
      </c>
      <c r="C113" s="7" t="s">
        <v>47</v>
      </c>
      <c r="D113" s="7" t="s">
        <v>35</v>
      </c>
      <c r="E113" s="7" t="s">
        <v>40</v>
      </c>
      <c r="F113" s="7" t="n">
        <v>6</v>
      </c>
      <c r="G113" s="9" t="n">
        <v>250</v>
      </c>
      <c r="H113" s="9" t="n">
        <f aca="false">F113*G113</f>
        <v>1500</v>
      </c>
      <c r="I113" s="7" t="n">
        <f aca="false">MONTH(B113)</f>
        <v>12</v>
      </c>
    </row>
    <row r="114" customFormat="false" ht="15" hidden="false" customHeight="false" outlineLevel="0" collapsed="false">
      <c r="A114" s="7" t="s">
        <v>163</v>
      </c>
      <c r="B114" s="8" t="n">
        <v>46001</v>
      </c>
      <c r="C114" s="7" t="s">
        <v>30</v>
      </c>
      <c r="D114" s="7" t="s">
        <v>31</v>
      </c>
      <c r="E114" s="7" t="s">
        <v>67</v>
      </c>
      <c r="F114" s="7" t="n">
        <v>4</v>
      </c>
      <c r="G114" s="9" t="n">
        <v>220</v>
      </c>
      <c r="H114" s="9" t="n">
        <f aca="false">F114*G114</f>
        <v>880</v>
      </c>
      <c r="I114" s="7" t="n">
        <f aca="false">MONTH(B114)</f>
        <v>12</v>
      </c>
    </row>
    <row r="115" customFormat="false" ht="15" hidden="false" customHeight="false" outlineLevel="0" collapsed="false">
      <c r="A115" s="7" t="s">
        <v>164</v>
      </c>
      <c r="B115" s="8" t="n">
        <v>46003</v>
      </c>
      <c r="C115" s="7" t="s">
        <v>39</v>
      </c>
      <c r="D115" s="7" t="s">
        <v>59</v>
      </c>
      <c r="E115" s="7" t="s">
        <v>63</v>
      </c>
      <c r="F115" s="7" t="n">
        <v>8</v>
      </c>
      <c r="G115" s="9" t="n">
        <v>1100</v>
      </c>
      <c r="H115" s="9" t="n">
        <f aca="false">F115*G115</f>
        <v>8800</v>
      </c>
      <c r="I115" s="7" t="n">
        <f aca="false">MONTH(B115)</f>
        <v>12</v>
      </c>
    </row>
    <row r="116" customFormat="false" ht="15" hidden="false" customHeight="false" outlineLevel="0" collapsed="false">
      <c r="A116" s="7" t="s">
        <v>165</v>
      </c>
      <c r="B116" s="8" t="n">
        <v>46007</v>
      </c>
      <c r="C116" s="7" t="s">
        <v>30</v>
      </c>
      <c r="D116" s="7" t="s">
        <v>59</v>
      </c>
      <c r="E116" s="7" t="s">
        <v>111</v>
      </c>
      <c r="F116" s="7" t="n">
        <v>4</v>
      </c>
      <c r="G116" s="9" t="n">
        <v>450</v>
      </c>
      <c r="H116" s="9" t="n">
        <f aca="false">F116*G116</f>
        <v>1800</v>
      </c>
      <c r="I116" s="7" t="n">
        <f aca="false">MONTH(B116)</f>
        <v>12</v>
      </c>
    </row>
    <row r="117" customFormat="false" ht="15" hidden="false" customHeight="false" outlineLevel="0" collapsed="false">
      <c r="A117" s="7" t="s">
        <v>166</v>
      </c>
      <c r="B117" s="8" t="n">
        <v>46009</v>
      </c>
      <c r="C117" s="7" t="s">
        <v>30</v>
      </c>
      <c r="D117" s="7" t="s">
        <v>31</v>
      </c>
      <c r="E117" s="7" t="s">
        <v>48</v>
      </c>
      <c r="F117" s="7" t="n">
        <v>1</v>
      </c>
      <c r="G117" s="9" t="n">
        <v>280</v>
      </c>
      <c r="H117" s="9" t="n">
        <f aca="false">F117*G117</f>
        <v>280</v>
      </c>
      <c r="I117" s="7" t="n">
        <f aca="false">MONTH(B117)</f>
        <v>12</v>
      </c>
    </row>
    <row r="118" customFormat="false" ht="15" hidden="false" customHeight="false" outlineLevel="0" collapsed="false">
      <c r="A118" s="7" t="s">
        <v>167</v>
      </c>
      <c r="B118" s="8" t="n">
        <v>46011</v>
      </c>
      <c r="C118" s="7" t="s">
        <v>43</v>
      </c>
      <c r="D118" s="7" t="s">
        <v>44</v>
      </c>
      <c r="E118" s="7" t="s">
        <v>45</v>
      </c>
      <c r="F118" s="7" t="n">
        <v>7</v>
      </c>
      <c r="G118" s="9" t="n">
        <v>120</v>
      </c>
      <c r="H118" s="9" t="n">
        <f aca="false">F118*G118</f>
        <v>840</v>
      </c>
      <c r="I118" s="7" t="n">
        <f aca="false">MONTH(B118)</f>
        <v>12</v>
      </c>
    </row>
    <row r="119" customFormat="false" ht="15" hidden="false" customHeight="false" outlineLevel="0" collapsed="false">
      <c r="A119" s="7" t="s">
        <v>168</v>
      </c>
      <c r="B119" s="8" t="n">
        <v>46012</v>
      </c>
      <c r="C119" s="7" t="s">
        <v>43</v>
      </c>
      <c r="D119" s="7" t="s">
        <v>35</v>
      </c>
      <c r="E119" s="7" t="s">
        <v>40</v>
      </c>
      <c r="F119" s="7" t="n">
        <v>3</v>
      </c>
      <c r="G119" s="9" t="n">
        <v>250</v>
      </c>
      <c r="H119" s="9" t="n">
        <f aca="false">F119*G119</f>
        <v>750</v>
      </c>
      <c r="I119" s="7" t="n">
        <f aca="false">MONTH(B119)</f>
        <v>12</v>
      </c>
    </row>
    <row r="120" customFormat="false" ht="15" hidden="false" customHeight="false" outlineLevel="0" collapsed="false">
      <c r="A120" s="7" t="s">
        <v>169</v>
      </c>
      <c r="B120" s="8" t="n">
        <v>46018</v>
      </c>
      <c r="C120" s="7" t="s">
        <v>39</v>
      </c>
      <c r="D120" s="7" t="s">
        <v>44</v>
      </c>
      <c r="E120" s="7" t="s">
        <v>45</v>
      </c>
      <c r="F120" s="7" t="n">
        <v>5</v>
      </c>
      <c r="G120" s="9" t="n">
        <v>120</v>
      </c>
      <c r="H120" s="9" t="n">
        <f aca="false">F120*G120</f>
        <v>600</v>
      </c>
      <c r="I120" s="7" t="n">
        <f aca="false">MONTH(B120)</f>
        <v>12</v>
      </c>
    </row>
    <row r="121" customFormat="false" ht="15" hidden="false" customHeight="false" outlineLevel="0" collapsed="false">
      <c r="A121" s="7" t="s">
        <v>170</v>
      </c>
      <c r="B121" s="8" t="n">
        <v>46019</v>
      </c>
      <c r="C121" s="7" t="s">
        <v>43</v>
      </c>
      <c r="D121" s="7" t="s">
        <v>59</v>
      </c>
      <c r="E121" s="7" t="s">
        <v>63</v>
      </c>
      <c r="F121" s="7" t="n">
        <v>4</v>
      </c>
      <c r="G121" s="9" t="n">
        <v>1100</v>
      </c>
      <c r="H121" s="9" t="n">
        <f aca="false">F121*G121</f>
        <v>4400</v>
      </c>
      <c r="I121" s="7" t="n">
        <f aca="false">MONTH(B121)</f>
        <v>12</v>
      </c>
    </row>
  </sheetData>
  <autoFilter ref="A1:I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0" t="s">
        <v>171</v>
      </c>
    </row>
    <row r="3" customFormat="false" ht="15" hidden="false" customHeight="false" outlineLevel="0" collapsed="false">
      <c r="A3" s="6" t="s">
        <v>21</v>
      </c>
      <c r="B3" s="6" t="s">
        <v>26</v>
      </c>
      <c r="C3" s="6" t="s">
        <v>172</v>
      </c>
      <c r="D3" s="6" t="s">
        <v>173</v>
      </c>
    </row>
    <row r="4" customFormat="false" ht="15" hidden="false" customHeight="false" outlineLevel="0" collapsed="false">
      <c r="A4" s="7" t="s">
        <v>30</v>
      </c>
      <c r="B4" s="9" t="n">
        <f aca="false">SUMIFS(Data!$H$2:$H$121,Data!$C$2:$C$121,A4)</f>
        <v>46510</v>
      </c>
      <c r="C4" s="7" t="n">
        <f aca="false">COUNTIFS(Data!$C$2:$C$121,A4)</f>
        <v>32</v>
      </c>
      <c r="D4" s="11" t="n">
        <f aca="false">B4/SUM($B$4:$B$7)</f>
        <v>0.226911255305654</v>
      </c>
    </row>
    <row r="5" customFormat="false" ht="15" hidden="false" customHeight="false" outlineLevel="0" collapsed="false">
      <c r="A5" s="7" t="s">
        <v>47</v>
      </c>
      <c r="B5" s="9" t="n">
        <f aca="false">SUMIFS(Data!$H$2:$H$121,Data!$C$2:$C$121,A5)</f>
        <v>54880</v>
      </c>
      <c r="C5" s="7" t="n">
        <f aca="false">COUNTIFS(Data!$C$2:$C$121,A5)</f>
        <v>34</v>
      </c>
      <c r="D5" s="11" t="n">
        <f aca="false">B5/SUM($B$4:$B$7)</f>
        <v>0.26774649948773</v>
      </c>
    </row>
    <row r="6" customFormat="false" ht="15" hidden="false" customHeight="false" outlineLevel="0" collapsed="false">
      <c r="A6" s="7" t="s">
        <v>39</v>
      </c>
      <c r="B6" s="9" t="n">
        <f aca="false">SUMIFS(Data!$H$2:$H$121,Data!$C$2:$C$121,A6)</f>
        <v>39010</v>
      </c>
      <c r="C6" s="7" t="n">
        <f aca="false">COUNTIFS(Data!$C$2:$C$121,A6)</f>
        <v>21</v>
      </c>
      <c r="D6" s="11" t="n">
        <f aca="false">B6/SUM($B$4:$B$7)</f>
        <v>0.190320534712397</v>
      </c>
    </row>
    <row r="7" customFormat="false" ht="15" hidden="false" customHeight="false" outlineLevel="0" collapsed="false">
      <c r="A7" s="7" t="s">
        <v>43</v>
      </c>
      <c r="B7" s="9" t="n">
        <f aca="false">SUMIFS(Data!$H$2:$H$121,Data!$C$2:$C$121,A7)</f>
        <v>64570</v>
      </c>
      <c r="C7" s="7" t="n">
        <f aca="false">COUNTIFS(Data!$C$2:$C$121,A7)</f>
        <v>33</v>
      </c>
      <c r="D7" s="11" t="n">
        <f aca="false">B7/SUM($B$4:$B$7)</f>
        <v>0.315021710494219</v>
      </c>
    </row>
    <row r="10" customFormat="false" ht="15" hidden="false" customHeight="false" outlineLevel="0" collapsed="false">
      <c r="A10" s="6" t="s">
        <v>22</v>
      </c>
      <c r="B10" s="6" t="s">
        <v>26</v>
      </c>
      <c r="C10" s="6" t="s">
        <v>172</v>
      </c>
      <c r="D10" s="6" t="s">
        <v>173</v>
      </c>
    </row>
    <row r="11" customFormat="false" ht="15" hidden="false" customHeight="false" outlineLevel="0" collapsed="false">
      <c r="A11" s="7" t="s">
        <v>44</v>
      </c>
      <c r="B11" s="9" t="n">
        <f aca="false">SUMIFS(Data!$H$2:$H$121,Data!$D$2:$D$121,A11)</f>
        <v>22590</v>
      </c>
      <c r="C11" s="7" t="n">
        <f aca="false">COUNTIFS(Data!$D$2:$D$121,A11)</f>
        <v>30</v>
      </c>
      <c r="D11" s="11" t="n">
        <f aca="false">B11/SUM($B$11:$B$14)</f>
        <v>0.110211250426892</v>
      </c>
    </row>
    <row r="12" customFormat="false" ht="15" hidden="false" customHeight="false" outlineLevel="0" collapsed="false">
      <c r="A12" s="7" t="s">
        <v>31</v>
      </c>
      <c r="B12" s="9" t="n">
        <f aca="false">SUMIFS(Data!$H$2:$H$121,Data!$D$2:$D$121,A12)</f>
        <v>29130</v>
      </c>
      <c r="C12" s="7" t="n">
        <f aca="false">COUNTIFS(Data!$D$2:$D$121,A12)</f>
        <v>29</v>
      </c>
      <c r="D12" s="11" t="n">
        <f aca="false">B12/SUM($B$11:$B$14)</f>
        <v>0.142118358784212</v>
      </c>
    </row>
    <row r="13" customFormat="false" ht="15" hidden="false" customHeight="false" outlineLevel="0" collapsed="false">
      <c r="A13" s="7" t="s">
        <v>35</v>
      </c>
      <c r="B13" s="9" t="n">
        <f aca="false">SUMIFS(Data!$H$2:$H$121,Data!$D$2:$D$121,A13)</f>
        <v>75600</v>
      </c>
      <c r="C13" s="7" t="n">
        <f aca="false">COUNTIFS(Data!$D$2:$D$121,A13)</f>
        <v>38</v>
      </c>
      <c r="D13" s="11" t="n">
        <f aca="false">B13/SUM($B$11:$B$14)</f>
        <v>0.368834463580036</v>
      </c>
    </row>
    <row r="14" customFormat="false" ht="15" hidden="false" customHeight="false" outlineLevel="0" collapsed="false">
      <c r="A14" s="7" t="s">
        <v>59</v>
      </c>
      <c r="B14" s="9" t="n">
        <f aca="false">SUMIFS(Data!$H$2:$H$121,Data!$D$2:$D$121,A14)</f>
        <v>77650</v>
      </c>
      <c r="C14" s="7" t="n">
        <f aca="false">COUNTIFS(Data!$D$2:$D$121,A14)</f>
        <v>23</v>
      </c>
      <c r="D14" s="11" t="n">
        <f aca="false">B14/SUM($B$11:$B$14)</f>
        <v>0.37883592720886</v>
      </c>
    </row>
    <row r="17" customFormat="false" ht="15" hidden="false" customHeight="false" outlineLevel="0" collapsed="false">
      <c r="A17" s="6" t="s">
        <v>27</v>
      </c>
      <c r="B17" s="6" t="s">
        <v>174</v>
      </c>
      <c r="C17" s="6" t="s">
        <v>26</v>
      </c>
      <c r="D17" s="6" t="s">
        <v>172</v>
      </c>
    </row>
    <row r="18" customFormat="false" ht="15" hidden="false" customHeight="false" outlineLevel="0" collapsed="false">
      <c r="A18" s="7" t="s">
        <v>175</v>
      </c>
      <c r="B18" s="7" t="n">
        <v>1</v>
      </c>
      <c r="C18" s="9" t="n">
        <f aca="false">SUMIFS(Data!$H$2:$H$121,Data!$I$2:$I$121,B18)</f>
        <v>7730</v>
      </c>
      <c r="D18" s="7" t="n">
        <f aca="false">COUNTIFS(Data!$I$2:$I$121,B18)</f>
        <v>6</v>
      </c>
    </row>
    <row r="19" customFormat="false" ht="15" hidden="false" customHeight="false" outlineLevel="0" collapsed="false">
      <c r="A19" s="7" t="s">
        <v>176</v>
      </c>
      <c r="B19" s="7" t="n">
        <v>2</v>
      </c>
      <c r="C19" s="9" t="n">
        <f aca="false">SUMIFS(Data!$H$2:$H$121,Data!$I$2:$I$121,B19)</f>
        <v>27450</v>
      </c>
      <c r="D19" s="7" t="n">
        <f aca="false">COUNTIFS(Data!$I$2:$I$121,B19)</f>
        <v>13</v>
      </c>
    </row>
    <row r="20" customFormat="false" ht="15" hidden="false" customHeight="false" outlineLevel="0" collapsed="false">
      <c r="A20" s="7" t="s">
        <v>177</v>
      </c>
      <c r="B20" s="7" t="n">
        <v>3</v>
      </c>
      <c r="C20" s="9" t="n">
        <f aca="false">SUMIFS(Data!$H$2:$H$121,Data!$I$2:$I$121,B20)</f>
        <v>19700</v>
      </c>
      <c r="D20" s="7" t="n">
        <f aca="false">COUNTIFS(Data!$I$2:$I$121,B20)</f>
        <v>14</v>
      </c>
    </row>
    <row r="21" customFormat="false" ht="15" hidden="false" customHeight="false" outlineLevel="0" collapsed="false">
      <c r="A21" s="7" t="s">
        <v>178</v>
      </c>
      <c r="B21" s="7" t="n">
        <v>4</v>
      </c>
      <c r="C21" s="9" t="n">
        <f aca="false">SUMIFS(Data!$H$2:$H$121,Data!$I$2:$I$121,B21)</f>
        <v>11930</v>
      </c>
      <c r="D21" s="7" t="n">
        <f aca="false">COUNTIFS(Data!$I$2:$I$121,B21)</f>
        <v>6</v>
      </c>
    </row>
    <row r="22" customFormat="false" ht="15" hidden="false" customHeight="false" outlineLevel="0" collapsed="false">
      <c r="A22" s="7" t="s">
        <v>179</v>
      </c>
      <c r="B22" s="7" t="n">
        <v>5</v>
      </c>
      <c r="C22" s="9" t="n">
        <f aca="false">SUMIFS(Data!$H$2:$H$121,Data!$I$2:$I$121,B22)</f>
        <v>15360</v>
      </c>
      <c r="D22" s="7" t="n">
        <f aca="false">COUNTIFS(Data!$I$2:$I$121,B22)</f>
        <v>10</v>
      </c>
    </row>
    <row r="23" customFormat="false" ht="15" hidden="false" customHeight="false" outlineLevel="0" collapsed="false">
      <c r="A23" s="7" t="s">
        <v>180</v>
      </c>
      <c r="B23" s="7" t="n">
        <v>6</v>
      </c>
      <c r="C23" s="9" t="n">
        <f aca="false">SUMIFS(Data!$H$2:$H$121,Data!$I$2:$I$121,B23)</f>
        <v>13990</v>
      </c>
      <c r="D23" s="7" t="n">
        <f aca="false">COUNTIFS(Data!$I$2:$I$121,B23)</f>
        <v>6</v>
      </c>
    </row>
    <row r="24" customFormat="false" ht="15" hidden="false" customHeight="false" outlineLevel="0" collapsed="false">
      <c r="A24" s="7" t="s">
        <v>181</v>
      </c>
      <c r="B24" s="7" t="n">
        <v>7</v>
      </c>
      <c r="C24" s="9" t="n">
        <f aca="false">SUMIFS(Data!$H$2:$H$121,Data!$I$2:$I$121,B24)</f>
        <v>18130</v>
      </c>
      <c r="D24" s="7" t="n">
        <f aca="false">COUNTIFS(Data!$I$2:$I$121,B24)</f>
        <v>10</v>
      </c>
    </row>
    <row r="25" customFormat="false" ht="15" hidden="false" customHeight="false" outlineLevel="0" collapsed="false">
      <c r="A25" s="7" t="s">
        <v>182</v>
      </c>
      <c r="B25" s="7" t="n">
        <v>8</v>
      </c>
      <c r="C25" s="9" t="n">
        <f aca="false">SUMIFS(Data!$H$2:$H$121,Data!$I$2:$I$121,B25)</f>
        <v>9960</v>
      </c>
      <c r="D25" s="7" t="n">
        <f aca="false">COUNTIFS(Data!$I$2:$I$121,B25)</f>
        <v>8</v>
      </c>
    </row>
    <row r="26" customFormat="false" ht="15" hidden="false" customHeight="false" outlineLevel="0" collapsed="false">
      <c r="A26" s="7" t="s">
        <v>183</v>
      </c>
      <c r="B26" s="7" t="n">
        <v>9</v>
      </c>
      <c r="C26" s="9" t="n">
        <f aca="false">SUMIFS(Data!$H$2:$H$121,Data!$I$2:$I$121,B26)</f>
        <v>31890</v>
      </c>
      <c r="D26" s="7" t="n">
        <f aca="false">COUNTIFS(Data!$I$2:$I$121,B26)</f>
        <v>16</v>
      </c>
    </row>
    <row r="27" customFormat="false" ht="15" hidden="false" customHeight="false" outlineLevel="0" collapsed="false">
      <c r="A27" s="7" t="s">
        <v>184</v>
      </c>
      <c r="B27" s="7" t="n">
        <v>10</v>
      </c>
      <c r="C27" s="9" t="n">
        <f aca="false">SUMIFS(Data!$H$2:$H$121,Data!$I$2:$I$121,B27)</f>
        <v>10340</v>
      </c>
      <c r="D27" s="7" t="n">
        <f aca="false">COUNTIFS(Data!$I$2:$I$121,B27)</f>
        <v>9</v>
      </c>
    </row>
    <row r="28" customFormat="false" ht="15" hidden="false" customHeight="false" outlineLevel="0" collapsed="false">
      <c r="A28" s="7" t="s">
        <v>185</v>
      </c>
      <c r="B28" s="7" t="n">
        <v>11</v>
      </c>
      <c r="C28" s="9" t="n">
        <f aca="false">SUMIFS(Data!$H$2:$H$121,Data!$I$2:$I$121,B28)</f>
        <v>11450</v>
      </c>
      <c r="D28" s="7" t="n">
        <f aca="false">COUNTIFS(Data!$I$2:$I$121,B28)</f>
        <v>10</v>
      </c>
    </row>
    <row r="29" customFormat="false" ht="15" hidden="false" customHeight="false" outlineLevel="0" collapsed="false">
      <c r="A29" s="7" t="s">
        <v>186</v>
      </c>
      <c r="B29" s="7" t="n">
        <v>12</v>
      </c>
      <c r="C29" s="9" t="n">
        <f aca="false">SUMIFS(Data!$H$2:$H$121,Data!$I$2:$I$121,B29)</f>
        <v>27040</v>
      </c>
      <c r="D29" s="7" t="n">
        <f aca="false">COUNTIFS(Data!$I$2:$I$121,B29)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2026-10-01T09:43:16Z</dcterms:created>
  <dc:creator>openpyxl</dc:creator>
  <dc:description/>
  <dc:language>en-US</dc:language>
  <cp:lastModifiedBy/>
  <dcterms:modified xsi:type="dcterms:W3CDTF">2026-10-01T09:43:18Z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